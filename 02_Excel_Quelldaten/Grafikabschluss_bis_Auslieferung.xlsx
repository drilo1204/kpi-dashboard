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dveseli\Nextcloud\task-team-share\KPIs\Partner_und_Friends_KPIs\"/>
    </mc:Choice>
  </mc:AlternateContent>
  <xr:revisionPtr revIDLastSave="0" documentId="13_ncr:1_{DE9DD59D-58F6-4CB0-AD2A-92A2C7FF06A4}" xr6:coauthVersionLast="47" xr6:coauthVersionMax="47" xr10:uidLastSave="{00000000-0000-0000-0000-000000000000}"/>
  <bookViews>
    <workbookView xWindow="-120" yWindow="-120" windowWidth="29040" windowHeight="15720" tabRatio="500" activeTab="1" xr2:uid="{00000000-000D-0000-FFFF-FFFF00000000}"/>
  </bookViews>
  <sheets>
    <sheet name="Dashboard" sheetId="1" r:id="rId1"/>
    <sheet name="Rohdaten" sheetId="2" r:id="rId2"/>
    <sheet name="Auswertung" sheetId="3" r:id="rId3"/>
    <sheet name="Anleitung" sheetId="4" r:id="rId4"/>
  </sheets>
  <definedNames>
    <definedName name="_xlnm._FilterDatabase" localSheetId="1" hidden="1">Rohdaten!$A$1:$I$500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219" i="2" l="1"/>
  <c r="F220" i="2"/>
  <c r="F221" i="2"/>
  <c r="F222" i="2"/>
  <c r="F223" i="2"/>
  <c r="F224" i="2"/>
  <c r="F225" i="2"/>
  <c r="F226" i="2"/>
  <c r="F218" i="2"/>
  <c r="F217" i="2"/>
  <c r="F216" i="2"/>
  <c r="F215" i="2"/>
  <c r="F206" i="2"/>
  <c r="F207" i="2"/>
  <c r="F208" i="2"/>
  <c r="F209" i="2"/>
  <c r="F210" i="2"/>
  <c r="F211" i="2"/>
  <c r="F212" i="2"/>
  <c r="F213" i="2"/>
  <c r="F214" i="2"/>
  <c r="F205" i="2"/>
  <c r="F204" i="2"/>
  <c r="C47" i="3"/>
  <c r="C46" i="3"/>
  <c r="C45" i="3"/>
  <c r="C44" i="3"/>
  <c r="C43" i="3"/>
  <c r="C42" i="3"/>
  <c r="C41" i="3"/>
  <c r="C40" i="3"/>
  <c r="C39" i="3"/>
  <c r="C38" i="3"/>
  <c r="C37" i="3"/>
  <c r="C36" i="3"/>
  <c r="C35" i="3"/>
  <c r="C34" i="3"/>
  <c r="B34" i="3"/>
  <c r="E30" i="3"/>
  <c r="D30" i="3"/>
  <c r="C30" i="3"/>
  <c r="B30" i="3"/>
  <c r="E29" i="3"/>
  <c r="D29" i="3"/>
  <c r="C29" i="3"/>
  <c r="E28" i="3"/>
  <c r="D28" i="3"/>
  <c r="C28" i="3"/>
  <c r="B28" i="3"/>
  <c r="E27" i="3"/>
  <c r="D27" i="3"/>
  <c r="C27" i="3"/>
  <c r="B27" i="3"/>
  <c r="E26" i="3"/>
  <c r="C26" i="3"/>
  <c r="E25" i="3"/>
  <c r="D25" i="3"/>
  <c r="C25" i="3"/>
  <c r="E24" i="3"/>
  <c r="C24" i="3"/>
  <c r="E23" i="3"/>
  <c r="D23" i="3"/>
  <c r="C23" i="3"/>
  <c r="B23" i="3"/>
  <c r="E22" i="3"/>
  <c r="D22" i="3"/>
  <c r="C22" i="3"/>
  <c r="B22" i="3"/>
  <c r="E21" i="3"/>
  <c r="C21" i="3"/>
  <c r="E20" i="3"/>
  <c r="C20" i="3"/>
  <c r="B11" i="3"/>
  <c r="E10" i="3"/>
  <c r="D10" i="3"/>
  <c r="C10" i="3"/>
  <c r="B10" i="3"/>
  <c r="E9" i="3"/>
  <c r="D9" i="3"/>
  <c r="C9" i="3"/>
  <c r="B9" i="3"/>
  <c r="B8" i="3"/>
  <c r="B7" i="3"/>
  <c r="B6" i="3"/>
  <c r="E5" i="3"/>
  <c r="D5" i="3"/>
  <c r="C5" i="3"/>
  <c r="B5" i="3"/>
  <c r="B4" i="3"/>
  <c r="B3" i="3"/>
  <c r="B2" i="3"/>
  <c r="F203" i="2"/>
  <c r="F202" i="2"/>
  <c r="F201" i="2"/>
  <c r="F200" i="2"/>
  <c r="F199" i="2"/>
  <c r="F198" i="2"/>
  <c r="F197" i="2"/>
  <c r="F196" i="2"/>
  <c r="F195" i="2"/>
  <c r="F194" i="2"/>
  <c r="F193" i="2"/>
  <c r="F192" i="2"/>
  <c r="F191" i="2"/>
  <c r="F190" i="2"/>
  <c r="F189" i="2"/>
  <c r="F188" i="2"/>
  <c r="F187" i="2"/>
  <c r="F186" i="2"/>
  <c r="H185" i="2"/>
  <c r="F185" i="2"/>
  <c r="H184" i="2"/>
  <c r="F184" i="2"/>
  <c r="H183" i="2"/>
  <c r="F183" i="2"/>
  <c r="H182" i="2"/>
  <c r="F182" i="2"/>
  <c r="H181" i="2"/>
  <c r="F181" i="2"/>
  <c r="H180" i="2"/>
  <c r="F180" i="2"/>
  <c r="F179" i="2"/>
  <c r="H178" i="2"/>
  <c r="F178" i="2"/>
  <c r="H177" i="2"/>
  <c r="F177" i="2"/>
  <c r="H176" i="2"/>
  <c r="F176" i="2"/>
  <c r="H175" i="2"/>
  <c r="F175" i="2"/>
  <c r="H174" i="2"/>
  <c r="F174" i="2"/>
  <c r="H173" i="2"/>
  <c r="F173" i="2"/>
  <c r="H172" i="2"/>
  <c r="F172" i="2"/>
  <c r="H171" i="2"/>
  <c r="F171" i="2"/>
  <c r="H170" i="2"/>
  <c r="F170" i="2"/>
  <c r="H169" i="2"/>
  <c r="F169" i="2"/>
  <c r="H168" i="2"/>
  <c r="F168" i="2"/>
  <c r="H167" i="2"/>
  <c r="F167" i="2"/>
  <c r="H166" i="2"/>
  <c r="F166" i="2"/>
  <c r="H165" i="2"/>
  <c r="F165" i="2"/>
  <c r="H164" i="2"/>
  <c r="F164" i="2"/>
  <c r="H163" i="2"/>
  <c r="F163" i="2"/>
  <c r="H162" i="2"/>
  <c r="F162" i="2"/>
  <c r="H161" i="2"/>
  <c r="F161" i="2"/>
  <c r="H160" i="2"/>
  <c r="F160" i="2"/>
  <c r="H159" i="2"/>
  <c r="F159" i="2"/>
  <c r="H158" i="2"/>
  <c r="F158" i="2"/>
  <c r="H157" i="2"/>
  <c r="F157" i="2"/>
  <c r="H156" i="2"/>
  <c r="F156" i="2"/>
  <c r="H155" i="2"/>
  <c r="F155" i="2"/>
  <c r="H154" i="2"/>
  <c r="F154" i="2"/>
  <c r="H153" i="2"/>
  <c r="F153" i="2"/>
  <c r="H152" i="2"/>
  <c r="F152" i="2"/>
  <c r="H151" i="2"/>
  <c r="F151" i="2"/>
  <c r="H150" i="2"/>
  <c r="F150" i="2"/>
  <c r="H149" i="2"/>
  <c r="F149" i="2"/>
  <c r="H148" i="2"/>
  <c r="F148" i="2"/>
  <c r="H147" i="2"/>
  <c r="F147" i="2"/>
  <c r="H146" i="2"/>
  <c r="F146" i="2"/>
  <c r="H145" i="2"/>
  <c r="F145" i="2"/>
  <c r="H144" i="2"/>
  <c r="F144" i="2"/>
  <c r="H143" i="2"/>
  <c r="F143" i="2"/>
  <c r="H142" i="2"/>
  <c r="F142" i="2"/>
  <c r="H141" i="2"/>
  <c r="F141" i="2"/>
  <c r="H140" i="2"/>
  <c r="F140" i="2"/>
  <c r="H139" i="2"/>
  <c r="F139" i="2"/>
  <c r="H138" i="2"/>
  <c r="F138" i="2"/>
  <c r="H137" i="2"/>
  <c r="F137" i="2"/>
  <c r="H136" i="2"/>
  <c r="F136" i="2"/>
  <c r="H135" i="2"/>
  <c r="F135" i="2"/>
  <c r="H134" i="2"/>
  <c r="F134" i="2"/>
  <c r="H133" i="2"/>
  <c r="F133" i="2"/>
  <c r="H132" i="2"/>
  <c r="F132" i="2"/>
  <c r="H131" i="2"/>
  <c r="F131" i="2"/>
  <c r="H130" i="2"/>
  <c r="F130" i="2"/>
  <c r="H129" i="2"/>
  <c r="F129" i="2"/>
  <c r="H128" i="2"/>
  <c r="F128" i="2"/>
  <c r="H127" i="2"/>
  <c r="F127" i="2"/>
  <c r="H126" i="2"/>
  <c r="F126" i="2"/>
  <c r="H125" i="2"/>
  <c r="F125" i="2"/>
  <c r="H124" i="2"/>
  <c r="F124" i="2"/>
  <c r="H123" i="2"/>
  <c r="F123" i="2"/>
  <c r="H122" i="2"/>
  <c r="F122" i="2"/>
  <c r="H121" i="2"/>
  <c r="F121" i="2"/>
  <c r="H120" i="2"/>
  <c r="F120" i="2"/>
  <c r="H119" i="2"/>
  <c r="F119" i="2"/>
  <c r="H118" i="2"/>
  <c r="F118" i="2"/>
  <c r="H117" i="2"/>
  <c r="F117" i="2"/>
  <c r="H116" i="2"/>
  <c r="F116" i="2"/>
  <c r="H115" i="2"/>
  <c r="F115" i="2"/>
  <c r="H114" i="2"/>
  <c r="F114" i="2"/>
  <c r="H113" i="2"/>
  <c r="F113" i="2"/>
  <c r="H112" i="2"/>
  <c r="F112" i="2"/>
  <c r="H111" i="2"/>
  <c r="F111" i="2"/>
  <c r="H110" i="2"/>
  <c r="F110" i="2"/>
  <c r="H109" i="2"/>
  <c r="F109" i="2"/>
  <c r="H108" i="2"/>
  <c r="F108" i="2"/>
  <c r="H107" i="2"/>
  <c r="F107" i="2"/>
  <c r="H106" i="2"/>
  <c r="F106" i="2"/>
  <c r="H105" i="2"/>
  <c r="F105" i="2"/>
  <c r="H104" i="2"/>
  <c r="F104" i="2"/>
  <c r="H103" i="2"/>
  <c r="F103" i="2"/>
  <c r="H102" i="2"/>
  <c r="F102" i="2"/>
  <c r="H101" i="2"/>
  <c r="F101" i="2"/>
  <c r="H100" i="2"/>
  <c r="F100" i="2"/>
  <c r="H99" i="2"/>
  <c r="F99" i="2"/>
  <c r="H98" i="2"/>
  <c r="F98" i="2"/>
  <c r="H97" i="2"/>
  <c r="F97" i="2"/>
  <c r="H96" i="2"/>
  <c r="F96" i="2"/>
  <c r="H95" i="2"/>
  <c r="F95" i="2"/>
  <c r="H94" i="2"/>
  <c r="F94" i="2"/>
  <c r="H93" i="2"/>
  <c r="F93" i="2"/>
  <c r="H92" i="2"/>
  <c r="F92" i="2"/>
  <c r="H91" i="2"/>
  <c r="F91" i="2"/>
  <c r="H90" i="2"/>
  <c r="F90" i="2"/>
  <c r="H89" i="2"/>
  <c r="F89" i="2"/>
  <c r="H88" i="2"/>
  <c r="F88" i="2"/>
  <c r="F87" i="2"/>
  <c r="H86" i="2"/>
  <c r="F86" i="2"/>
  <c r="H85" i="2"/>
  <c r="F85" i="2"/>
  <c r="H84" i="2"/>
  <c r="F84" i="2"/>
  <c r="H83" i="2"/>
  <c r="F83" i="2"/>
  <c r="H82" i="2"/>
  <c r="F82" i="2"/>
  <c r="H81" i="2"/>
  <c r="F81" i="2"/>
  <c r="H80" i="2"/>
  <c r="F80" i="2"/>
  <c r="H79" i="2"/>
  <c r="F79" i="2"/>
  <c r="H78" i="2"/>
  <c r="F78" i="2"/>
  <c r="H77" i="2"/>
  <c r="F77" i="2"/>
  <c r="H76" i="2"/>
  <c r="F76" i="2"/>
  <c r="H75" i="2"/>
  <c r="F75" i="2"/>
  <c r="H74" i="2"/>
  <c r="F74" i="2"/>
  <c r="H73" i="2"/>
  <c r="F73" i="2"/>
  <c r="H72" i="2"/>
  <c r="F72" i="2"/>
  <c r="H71" i="2"/>
  <c r="F71" i="2"/>
  <c r="H70" i="2"/>
  <c r="F70" i="2"/>
  <c r="H69" i="2"/>
  <c r="F69" i="2"/>
  <c r="H68" i="2"/>
  <c r="F68" i="2"/>
  <c r="H67" i="2"/>
  <c r="F67" i="2"/>
  <c r="H66" i="2"/>
  <c r="F66" i="2"/>
  <c r="H65" i="2"/>
  <c r="F65" i="2"/>
  <c r="H64" i="2"/>
  <c r="F64" i="2"/>
  <c r="H63" i="2"/>
  <c r="F63" i="2"/>
  <c r="H62" i="2"/>
  <c r="F62" i="2"/>
  <c r="H61" i="2"/>
  <c r="F61" i="2"/>
  <c r="H60" i="2"/>
  <c r="F60" i="2"/>
  <c r="H59" i="2"/>
  <c r="F59" i="2"/>
  <c r="H58" i="2"/>
  <c r="F58" i="2"/>
  <c r="H57" i="2"/>
  <c r="F57" i="2"/>
  <c r="H56" i="2"/>
  <c r="F56" i="2"/>
  <c r="H55" i="2"/>
  <c r="F55" i="2"/>
  <c r="H54" i="2"/>
  <c r="F54" i="2"/>
  <c r="H53" i="2"/>
  <c r="F53" i="2"/>
  <c r="H52" i="2"/>
  <c r="F52" i="2"/>
  <c r="H51" i="2"/>
  <c r="F51" i="2"/>
  <c r="H50" i="2"/>
  <c r="F50" i="2"/>
  <c r="H49" i="2"/>
  <c r="F49" i="2"/>
  <c r="H48" i="2"/>
  <c r="F48" i="2"/>
  <c r="H47" i="2"/>
  <c r="F47" i="2"/>
  <c r="H46" i="2"/>
  <c r="F46" i="2"/>
  <c r="H45" i="2"/>
  <c r="F45" i="2"/>
  <c r="H44" i="2"/>
  <c r="F44" i="2"/>
  <c r="H43" i="2"/>
  <c r="F43" i="2"/>
  <c r="H42" i="2"/>
  <c r="F42" i="2"/>
  <c r="H41" i="2"/>
  <c r="F41" i="2"/>
  <c r="H40" i="2"/>
  <c r="F40" i="2"/>
  <c r="H39" i="2"/>
  <c r="F39" i="2"/>
  <c r="H38" i="2"/>
  <c r="F38" i="2"/>
  <c r="H37" i="2"/>
  <c r="F37" i="2"/>
  <c r="H36" i="2"/>
  <c r="F36" i="2"/>
  <c r="H35" i="2"/>
  <c r="F35" i="2"/>
  <c r="H34" i="2"/>
  <c r="F34" i="2"/>
  <c r="H33" i="2"/>
  <c r="F33" i="2"/>
  <c r="H32" i="2"/>
  <c r="F32" i="2"/>
  <c r="H31" i="2"/>
  <c r="F31" i="2"/>
  <c r="H30" i="2"/>
  <c r="F30" i="2"/>
  <c r="H29" i="2"/>
  <c r="F29" i="2"/>
  <c r="H28" i="2"/>
  <c r="F28" i="2"/>
  <c r="H27" i="2"/>
  <c r="F27" i="2"/>
  <c r="H26" i="2"/>
  <c r="F26" i="2"/>
  <c r="H25" i="2"/>
  <c r="F25" i="2"/>
  <c r="H24" i="2"/>
  <c r="F24" i="2"/>
  <c r="F23" i="2"/>
  <c r="F22" i="2"/>
  <c r="F21" i="2"/>
  <c r="F20" i="2"/>
  <c r="F19" i="2"/>
  <c r="F18" i="2"/>
  <c r="F17" i="2"/>
  <c r="F16" i="2"/>
  <c r="F15" i="2"/>
  <c r="F14" i="2"/>
  <c r="F13" i="2"/>
  <c r="F12" i="2"/>
  <c r="F11" i="2"/>
  <c r="F10" i="2"/>
  <c r="F9" i="2"/>
  <c r="F8" i="2"/>
  <c r="F7" i="2"/>
  <c r="F6" i="2"/>
  <c r="F5" i="2"/>
  <c r="F4" i="2"/>
  <c r="F3" i="2"/>
  <c r="F2" i="2"/>
  <c r="D33" i="1"/>
  <c r="C33" i="1"/>
  <c r="D32" i="1"/>
  <c r="C32" i="1"/>
  <c r="D31" i="1"/>
  <c r="C31" i="1"/>
  <c r="D30" i="1"/>
  <c r="C30" i="1"/>
  <c r="D29" i="1"/>
  <c r="C29" i="1"/>
  <c r="D28" i="1"/>
  <c r="C28" i="1"/>
  <c r="D27" i="1"/>
  <c r="C27" i="1"/>
  <c r="D26" i="1"/>
  <c r="C26" i="1"/>
  <c r="F16" i="1"/>
  <c r="E16" i="1"/>
  <c r="D16" i="1"/>
  <c r="C16" i="1"/>
  <c r="F15" i="1"/>
  <c r="E15" i="1"/>
  <c r="D15" i="1"/>
  <c r="C15" i="1"/>
  <c r="F14" i="1"/>
  <c r="E14" i="1"/>
  <c r="D14" i="1"/>
  <c r="C14" i="1"/>
  <c r="F13" i="1"/>
  <c r="E13" i="1"/>
  <c r="D13" i="1"/>
  <c r="C13" i="1"/>
  <c r="F12" i="1"/>
  <c r="E12" i="1"/>
  <c r="D12" i="1"/>
  <c r="C12" i="1"/>
  <c r="E7" i="1"/>
  <c r="D7" i="1"/>
  <c r="C7" i="1"/>
  <c r="B7" i="1"/>
  <c r="B47" i="3" l="1"/>
  <c r="B45" i="3"/>
  <c r="B44" i="3"/>
  <c r="B43" i="3"/>
  <c r="B42" i="3"/>
  <c r="B41" i="3"/>
  <c r="B40" i="3"/>
  <c r="B39" i="3"/>
  <c r="B38" i="3"/>
  <c r="B37" i="3"/>
  <c r="B36" i="3"/>
  <c r="B35" i="3"/>
  <c r="B29" i="3"/>
  <c r="B26" i="3"/>
  <c r="B25" i="3"/>
  <c r="D24" i="3"/>
  <c r="B24" i="3"/>
  <c r="D21" i="3"/>
  <c r="B21" i="3"/>
  <c r="B20" i="3"/>
  <c r="E11" i="3"/>
  <c r="D11" i="3"/>
  <c r="C11" i="3"/>
  <c r="E8" i="3"/>
  <c r="D8" i="3"/>
  <c r="C8" i="3"/>
  <c r="E7" i="3"/>
  <c r="D7" i="3"/>
  <c r="C7" i="3"/>
  <c r="E6" i="3"/>
  <c r="D6" i="3"/>
  <c r="C6" i="3"/>
  <c r="E3" i="3"/>
  <c r="D3" i="3"/>
  <c r="C3" i="3"/>
  <c r="D24" i="1"/>
  <c r="C24" i="1"/>
  <c r="D26" i="3"/>
  <c r="B46" i="3"/>
  <c r="D20" i="3"/>
  <c r="E2" i="3"/>
  <c r="D2" i="3"/>
  <c r="C2" i="3"/>
  <c r="F17" i="1"/>
  <c r="E17" i="1"/>
  <c r="D17" i="1"/>
  <c r="C17" i="1"/>
  <c r="E4" i="3"/>
  <c r="D4" i="3"/>
  <c r="C4" i="3"/>
  <c r="C25" i="1"/>
  <c r="D25" i="1"/>
  <c r="D23" i="1"/>
  <c r="C23" i="1"/>
  <c r="D22" i="1"/>
  <c r="C22" i="1"/>
</calcChain>
</file>

<file path=xl/sharedStrings.xml><?xml version="1.0" encoding="utf-8"?>
<sst xmlns="http://schemas.openxmlformats.org/spreadsheetml/2006/main" count="616" uniqueCount="324">
  <si>
    <t>Grafikabschluss bis Auslieferung</t>
  </si>
  <si>
    <t>Jahr:</t>
  </si>
  <si>
    <t>Ø Produktionsdauer</t>
  </si>
  <si>
    <t>Anzahl Projekte</t>
  </si>
  <si>
    <t>Schnellstes</t>
  </si>
  <si>
    <t>Längstes</t>
  </si>
  <si>
    <t>Tage</t>
  </si>
  <si>
    <t>Projekte</t>
  </si>
  <si>
    <t>Ø Dauer nach Produkttyp</t>
  </si>
  <si>
    <t>Produkt</t>
  </si>
  <si>
    <t>Anzahl</t>
  </si>
  <si>
    <t>Ø Tage</t>
  </si>
  <si>
    <t>Min</t>
  </si>
  <si>
    <t>Max</t>
  </si>
  <si>
    <t>Torzähler "Plus" 5 Jahre</t>
  </si>
  <si>
    <t>Fahrzeug</t>
  </si>
  <si>
    <t>Kühlanhänger</t>
  </si>
  <si>
    <t>Torzähler Mobil</t>
  </si>
  <si>
    <t>Eventanhänger</t>
  </si>
  <si>
    <t>Altfahrzeug Neu Beworben</t>
  </si>
  <si>
    <t>Monatlicher Trend</t>
  </si>
  <si>
    <t>Monat</t>
  </si>
  <si>
    <t>Januar</t>
  </si>
  <si>
    <t>Februar</t>
  </si>
  <si>
    <t>März</t>
  </si>
  <si>
    <t>April</t>
  </si>
  <si>
    <t>Mai</t>
  </si>
  <si>
    <t>Juni</t>
  </si>
  <si>
    <t>Juli</t>
  </si>
  <si>
    <t>August</t>
  </si>
  <si>
    <t>September</t>
  </si>
  <si>
    <t>Oktober</t>
  </si>
  <si>
    <t>November</t>
  </si>
  <si>
    <t>Dezember</t>
  </si>
  <si>
    <t>Projektnummer</t>
  </si>
  <si>
    <t>Projektname</t>
  </si>
  <si>
    <t>Grafikabschluss</t>
  </si>
  <si>
    <t>Auslieferungsdatum</t>
  </si>
  <si>
    <t>Produktionsdauer (Tage)</t>
  </si>
  <si>
    <t>Auslieferungsjahr</t>
  </si>
  <si>
    <t>Quartal</t>
  </si>
  <si>
    <t>Monat (Nr.)</t>
  </si>
  <si>
    <t>akademie für darstellende kunst</t>
  </si>
  <si>
    <t>Q1 2026</t>
  </si>
  <si>
    <t>Graf von Galen Schule - Heidelberg</t>
  </si>
  <si>
    <t>Theater Gruene Sosse</t>
  </si>
  <si>
    <t>Freie Waldorfschule Vordertaunus e. V.</t>
  </si>
  <si>
    <t>Schützenverein Owingen 1921 e.V.</t>
  </si>
  <si>
    <t>Anderssein e.V.</t>
  </si>
  <si>
    <t>Oppumer Verein für notleidende Pferde</t>
  </si>
  <si>
    <t>Mainzer Kinder- und Jugendtheater e.V.</t>
  </si>
  <si>
    <t>Freiwillige Feuerwehr Ottmaring e.V</t>
  </si>
  <si>
    <t>Hochwasseranhänger</t>
  </si>
  <si>
    <t>AWO Betreuungsverein Altenkirchen e.V.</t>
  </si>
  <si>
    <t>Freiwillige Feuerwehr Waldorfhäslach</t>
  </si>
  <si>
    <t>StadtTheater Bruneck</t>
  </si>
  <si>
    <t>Kreisverkehrswacht Kempten</t>
  </si>
  <si>
    <t>Freiwillige Feuerwehr Ueberau e.V</t>
  </si>
  <si>
    <t>THW Helfervereinigung Roding e.V</t>
  </si>
  <si>
    <t>Förderverein der FFW Selpin</t>
  </si>
  <si>
    <t>Freiwillige Feuerwehr Oberhinkofen</t>
  </si>
  <si>
    <t>Förderverein der FFW Waghäusel</t>
  </si>
  <si>
    <t>Stadt Göttingen - Kultur/Museum</t>
  </si>
  <si>
    <t>Freiwillige Feuerwehr Althengstett</t>
  </si>
  <si>
    <t>Q2 2026</t>
  </si>
  <si>
    <t>Freiwillige Feuerwehr Altenstadt 1908 eV</t>
  </si>
  <si>
    <t>Stadtjugendfeuerwehr Hessisch Oldendorf</t>
  </si>
  <si>
    <t>Kleines Theater Bad Godesberg e.V.</t>
  </si>
  <si>
    <t>WSV Unterammergau 1924</t>
  </si>
  <si>
    <t>Florianskameradschaft Sauggart e.V.</t>
  </si>
  <si>
    <t>THW Helfervereinigung Lüneburg e.V.</t>
  </si>
  <si>
    <t>TSG Stadtbergen 1892</t>
  </si>
  <si>
    <t>SSV Neumünster-Unterschöneberg e.V.</t>
  </si>
  <si>
    <t>Stadtkapelle/Spielmannszug Pfaffenhofen</t>
  </si>
  <si>
    <t>Theater im Palais -Erfurt </t>
  </si>
  <si>
    <t>Theater im Palais e. V.</t>
  </si>
  <si>
    <t>Haus Aichele -Beuren</t>
  </si>
  <si>
    <t>Haus Aichele</t>
  </si>
  <si>
    <t>Musikverein Bad Cannstatt e.V. - Stuttgart</t>
  </si>
  <si>
    <t>Musikverein Bad Cannstatt e.V.</t>
  </si>
  <si>
    <t>Sportverein Jagstzell e.V.</t>
  </si>
  <si>
    <t>Freiwillige Feuerwehr Bruckberg</t>
  </si>
  <si>
    <t>FFW Schönbrunn</t>
  </si>
  <si>
    <t>DRK-Kreisverband Freudenstadt e. V. </t>
  </si>
  <si>
    <t>Freiwillige Feuerwehr Illingen </t>
  </si>
  <si>
    <t>Universitätsstadt Siegen</t>
  </si>
  <si>
    <t>Stadt Willich   </t>
  </si>
  <si>
    <t>Wohnstift und Pflegeheim Birkenfeld </t>
  </si>
  <si>
    <t>Diakonieverband Reutlingen  </t>
  </si>
  <si>
    <t>TUS 07 Steinbach e.V.</t>
  </si>
  <si>
    <t>Museen der Stadt Nürnberg </t>
  </si>
  <si>
    <t>FFW Breitengüßbach e.V.</t>
  </si>
  <si>
    <t>VFB Bad Rappenau e.V</t>
  </si>
  <si>
    <t>Freiwillige Feuerwehr Buchheim</t>
  </si>
  <si>
    <t>Feuerwehr Buchheim </t>
  </si>
  <si>
    <t>FFW Balzheim</t>
  </si>
  <si>
    <t>Galli Märchen Theater Rheingau g. UG - Eltville</t>
  </si>
  <si>
    <t>SV Eintracht Alesheim e.V.</t>
  </si>
  <si>
    <t>Spielvereinigung Kleinkötz e.V. </t>
  </si>
  <si>
    <t>SC Jura Arnstein</t>
  </si>
  <si>
    <t>FFW Engelsbrand </t>
  </si>
  <si>
    <t>Stamm Raubritter Hüls - Krefeld</t>
  </si>
  <si>
    <t>FFW Windsbach 1868 e.V</t>
  </si>
  <si>
    <t>SV Blau Weiß 90 Bad Suderode e.V.</t>
  </si>
  <si>
    <t>- Sozialwerk Bethesda - Haus Bethesda - Neulingen</t>
  </si>
  <si>
    <t>Tierschutzverein Kreis Viersen e. V. </t>
  </si>
  <si>
    <t>Malteser Hilfsdienst, Wolfegg</t>
  </si>
  <si>
    <t>Spielanhänger</t>
  </si>
  <si>
    <t>Kammeroper Köln - Musiktheater e.V.</t>
  </si>
  <si>
    <t>Stadt Wildeshausen </t>
  </si>
  <si>
    <t>TSG 1889 Sandershausen e. V.</t>
  </si>
  <si>
    <t>Freie Waldorfschule Filstal</t>
  </si>
  <si>
    <t>Dogman-Tierhilfe e.V.</t>
  </si>
  <si>
    <t xml:space="preserve">SV Sinzheim 1929 e.V. </t>
  </si>
  <si>
    <t>FC 1919 Bad Dürrheim e.V.</t>
  </si>
  <si>
    <t>TSV Oberbeuren e.V.</t>
  </si>
  <si>
    <t>Freie Waldorfschule Wetterau</t>
  </si>
  <si>
    <t>Kindern ein Lächeln zaubern- Euskirchen</t>
  </si>
  <si>
    <t>KC Herzogenaurach 1964 e.V. -</t>
  </si>
  <si>
    <t>DJK-SV Oberpfraundorf e.V.</t>
  </si>
  <si>
    <t>Altenzentrum St. Josef</t>
  </si>
  <si>
    <t>Freiwillige Feuerwehr Untersteinbach</t>
  </si>
  <si>
    <t xml:space="preserve">SV Pfaffenhofen e.V. </t>
  </si>
  <si>
    <t xml:space="preserve">FC Germania 08 Ginnheim </t>
  </si>
  <si>
    <t>Tierschutzverein Bitterfeld e.V.</t>
  </si>
  <si>
    <t>Freiwillige Feuerwehr Markt Königstein</t>
  </si>
  <si>
    <t>FC Härtsfeld 03 e.V.</t>
  </si>
  <si>
    <t>TSV Soyen e.V.</t>
  </si>
  <si>
    <t>SSV Margertshausen</t>
  </si>
  <si>
    <t>SGV Freiberg Fußball, Freiberg</t>
  </si>
  <si>
    <t>Freiwillige Feuerwehr Schneeberg</t>
  </si>
  <si>
    <t>SV Hörmannsdorf e.V.</t>
  </si>
  <si>
    <t>TSV 1905 Biberach e. V.</t>
  </si>
  <si>
    <t>FC Herdecke-Ende e.V.</t>
  </si>
  <si>
    <t>TuS Heven 09</t>
  </si>
  <si>
    <t>PIT, Freudenstadt</t>
  </si>
  <si>
    <t xml:space="preserve">SV Lichtenau Weilheim e.V. </t>
  </si>
  <si>
    <t xml:space="preserve">1. FC Stern Mögglingen </t>
  </si>
  <si>
    <t>Förderverein des TH, Neu-Ulm</t>
  </si>
  <si>
    <t xml:space="preserve">FV Rammersweier </t>
  </si>
  <si>
    <t>Feuerwehrverein Oßweil e.V</t>
  </si>
  <si>
    <t>Stadt Overath</t>
  </si>
  <si>
    <t>SV Friedrichsort von 1890 e.V.</t>
  </si>
  <si>
    <t>DLRG Ortsgruppe Aalen</t>
  </si>
  <si>
    <t>Spielvereinigung Rot-Weiss Speyer e.V.</t>
  </si>
  <si>
    <t>Altes Schauspielhaus i. Marquart, Stgt.</t>
  </si>
  <si>
    <t>Tierheim Eisleben</t>
  </si>
  <si>
    <t>FFW Offingen</t>
  </si>
  <si>
    <t>Tierschutzverein Rüsselsheim</t>
  </si>
  <si>
    <t>Verein z. Förd. Berufssport, Hennef</t>
  </si>
  <si>
    <t>FFW Verein Rentweinsdorf</t>
  </si>
  <si>
    <t>St. Franziskus Hospital, Köln</t>
  </si>
  <si>
    <t>Sportgemeinschaft Eichenfeld e.V.</t>
  </si>
  <si>
    <t>TSG 2005 Bamberg</t>
  </si>
  <si>
    <t>TSV Goßmannsdorf 1896 e.V.</t>
  </si>
  <si>
    <t>Boindara Maibaum, Painten</t>
  </si>
  <si>
    <t>TSV Elbenberg 05 e.V.</t>
  </si>
  <si>
    <t>Lebenshilfe im Krei Rottweil, Schramberg</t>
  </si>
  <si>
    <t>SG 1920 Burgsinn e.V.</t>
  </si>
  <si>
    <t>SV Hellas 05 Bildstock e.V.</t>
  </si>
  <si>
    <t xml:space="preserve"> MTSV Beindersheim 1909 e.V. </t>
  </si>
  <si>
    <t xml:space="preserve">Sportverein Alemannia 1919 e.V. </t>
  </si>
  <si>
    <t>Junges Theater Bremerhaven</t>
  </si>
  <si>
    <t>Stadtsportausschuss Rheinfelden</t>
  </si>
  <si>
    <t>ESV Lok Gotha e.V.</t>
  </si>
  <si>
    <t>TV Zazenhausen 1901 e.V.</t>
  </si>
  <si>
    <t>SV Strimmig e.V.</t>
  </si>
  <si>
    <t>SC Teublitz e.V.</t>
  </si>
  <si>
    <t>DJK Concordia Wimmelbach e.V</t>
  </si>
  <si>
    <t xml:space="preserve">FSV 1919 e.V. Gross - Zimmern </t>
  </si>
  <si>
    <t>FC Hansa Schwanewede e.V</t>
  </si>
  <si>
    <t>Ev. Kinderheim, Wesel</t>
  </si>
  <si>
    <t>TSV Ludwigsburg</t>
  </si>
  <si>
    <t>VfR Roßla e.V.</t>
  </si>
  <si>
    <t>SV Herbede 1916 e.V.</t>
  </si>
  <si>
    <t>FSV Gerlingen e.V.</t>
  </si>
  <si>
    <t>Torzähler Premium</t>
  </si>
  <si>
    <t>SC Orschweier 1921 e.V.</t>
  </si>
  <si>
    <t>FV 1925 Marbach e.V.</t>
  </si>
  <si>
    <t>SV Neckarburken</t>
  </si>
  <si>
    <t>SG Oleftal e.V.</t>
  </si>
  <si>
    <t>Sportverein Steinach</t>
  </si>
  <si>
    <t>FFW Adlkofen</t>
  </si>
  <si>
    <t>TV Voerde 1920 e.V.</t>
  </si>
  <si>
    <t>TSV Mengsberg</t>
  </si>
  <si>
    <t>Seniorengen. Riedlingen</t>
  </si>
  <si>
    <t>VFL Vorwerk 1927 e.V.</t>
  </si>
  <si>
    <t>Isenstedter Sport-Club e.V.</t>
  </si>
  <si>
    <t>SSV Anhausen 1946 e.V.</t>
  </si>
  <si>
    <t>Johannes Gutenberg Uni, Mainz</t>
  </si>
  <si>
    <t>Karl-Schubert-Schule Stgt.</t>
  </si>
  <si>
    <t>SV Anhalt Sangerhausen e.V.</t>
  </si>
  <si>
    <t>Junges Theater Augsburg</t>
  </si>
  <si>
    <t>Landestheater Eisenach</t>
  </si>
  <si>
    <t>KSV 1922 Berstadt e.V.</t>
  </si>
  <si>
    <t>FV Ottersdorf e.V.</t>
  </si>
  <si>
    <t>Turn- und Sportverein Geretsried e.V.</t>
  </si>
  <si>
    <t>SG Hoof-Osterbrücken</t>
  </si>
  <si>
    <t>Tierheim Linxbachhof, St. Wendel</t>
  </si>
  <si>
    <t>TGB Lahr e.V.</t>
  </si>
  <si>
    <t>Hilfswerk für Senioren, Köln</t>
  </si>
  <si>
    <t>THW Helferverein., Stelle-Winsen</t>
  </si>
  <si>
    <t>Tierschutzverein Waiblingen</t>
  </si>
  <si>
    <t>FSV 1911 Spachbrücken e.V.</t>
  </si>
  <si>
    <t>FV Weithart e.V.</t>
  </si>
  <si>
    <t>Tierheim Solingen</t>
  </si>
  <si>
    <t>Lungenfachklinik, Neustadt</t>
  </si>
  <si>
    <t>FC Neuweiler 1911</t>
  </si>
  <si>
    <t>FC Stuttgart-Cannstatt e.V.</t>
  </si>
  <si>
    <t>Sportfreunde Schießen</t>
  </si>
  <si>
    <t>FC Inter Laupheim</t>
  </si>
  <si>
    <t>Bodetal Tourismus, Thale</t>
  </si>
  <si>
    <t>Förderverein FFW Bombogen, Wittlich</t>
  </si>
  <si>
    <t>FFW Kastl</t>
  </si>
  <si>
    <t>FSV Geislitz 1947 e.V.</t>
  </si>
  <si>
    <t>Verein für Leibesübungen e.V. Oberbieber</t>
  </si>
  <si>
    <t>Marokkanischer SV Bonn e.V.</t>
  </si>
  <si>
    <t>bremer shakespear company</t>
  </si>
  <si>
    <t>TSB Schwäbisch Gmünd 1844 e.V.</t>
  </si>
  <si>
    <t>SGM Neunheim / Rindelbach</t>
  </si>
  <si>
    <t>SG Eintracht Ebendorf e.V.</t>
  </si>
  <si>
    <t>E.T.A. Hoffmann Theater, Bamberg</t>
  </si>
  <si>
    <t>Diakoniestation Heilbronn-West</t>
  </si>
  <si>
    <t>Tierpark Neumünster</t>
  </si>
  <si>
    <t>Q1 2025</t>
  </si>
  <si>
    <t>Sportverein Eberhardzell 1922 e.V.</t>
  </si>
  <si>
    <t>Turn- und Sportverein Schwangau e.V.</t>
  </si>
  <si>
    <t xml:space="preserve">FV Tiefenbronn 1920 e.V. </t>
  </si>
  <si>
    <t>Familienzentrum minimaxi e. V.</t>
  </si>
  <si>
    <t>Tinko Kindertheater Gießen e. V.</t>
  </si>
  <si>
    <t>VFL Rheingold 1912 Köln- Poll e.V</t>
  </si>
  <si>
    <t>Feuer und Flamme Theater</t>
  </si>
  <si>
    <t>Freiwillige Feuerwehr der Stadt Selb</t>
  </si>
  <si>
    <t>Freiwillige Feuerwehr Neuenbuch</t>
  </si>
  <si>
    <t xml:space="preserve">Förderverein Grundschule Großglattbach </t>
  </si>
  <si>
    <t>FFW Heigenbrücken e.V.</t>
  </si>
  <si>
    <t>Altes Schauspielhaus und Komodie im Marq</t>
  </si>
  <si>
    <t>Theater Ulm</t>
  </si>
  <si>
    <t>Birkenhof e.V</t>
  </si>
  <si>
    <t>SSV Vogelstang e.V.</t>
  </si>
  <si>
    <t>TSV Pflaumheim 1913 e.V.</t>
  </si>
  <si>
    <t>MBB SG Manching e. V.</t>
  </si>
  <si>
    <t>SV Eichenried e.V.</t>
  </si>
  <si>
    <t>1. FC Weidach e.V.</t>
  </si>
  <si>
    <t>TSG Reutlingen</t>
  </si>
  <si>
    <t>SV Grafenhausen 1929 e.V.</t>
  </si>
  <si>
    <t>TSG Rot-Weiß 90 Kostebrau e.V.</t>
  </si>
  <si>
    <t>FV Nußloch 1910 e.V</t>
  </si>
  <si>
    <t>Produktliste</t>
  </si>
  <si>
    <t>Ø Dauer (Tage)</t>
  </si>
  <si>
    <t>Min (Tage)</t>
  </si>
  <si>
    <t>Max (Tage)</t>
  </si>
  <si>
    <t>Hyundai i10</t>
  </si>
  <si>
    <t>Torzähler Mobil 10 Flächen</t>
  </si>
  <si>
    <t>Torzähler Mobil 8 Flächen</t>
  </si>
  <si>
    <t>Jahresliste</t>
  </si>
  <si>
    <t>Ø Dauer nach Produkt und Jahr</t>
  </si>
  <si>
    <t>2025 Ø Tage</t>
  </si>
  <si>
    <t>2025 Anzahl</t>
  </si>
  <si>
    <t>2026 Ø Tage</t>
  </si>
  <si>
    <t>2026 Anzahl</t>
  </si>
  <si>
    <t>GESAMT</t>
  </si>
  <si>
    <t>Monatliche Trendanalyse</t>
  </si>
  <si>
    <t>📖 Anleitung zur Nutzung</t>
  </si>
  <si>
    <t>1. Daten erweitern</t>
  </si>
  <si>
    <t>Neue Projekte einfach unten an die Tabelle im Sheet 'Rohdaten' anfügen.</t>
  </si>
  <si>
    <t>Die Formeln im Dashboard und in der Auswertung passen sich automatisch an,</t>
  </si>
  <si>
    <t>SOFERN der Rohdaten-Bereich in den Formeln ausreichend groß ist.</t>
  </si>
  <si>
    <t>Tipp: Wenn viele neue Zeilen hinzukommen, die Formelbereiche in Auswertung &amp; Dashboard anpassen (z.B. F2:F500 statt F2:F157).</t>
  </si>
  <si>
    <t>2. Neue Produkttypen</t>
  </si>
  <si>
    <t>Werden automatisch erkannt, wenn sie in der Spalte 'Produkt' eingetragen sind.</t>
  </si>
  <si>
    <t>Für das Dashboard: Neue Zeile in der Produkttabelle einfügen und Formeln nach unten kopieren.</t>
  </si>
  <si>
    <t>3. Nach Jahren filtern</t>
  </si>
  <si>
    <t>Option A: Im Sheet 'Rohdaten' den Autofilter in Spalte G (Auslieferungsjahr) nutzen.</t>
  </si>
  <si>
    <t>Option B: Die Jahresvergleichstabelle im Dashboard zeigt die Daten nach Jahren aufgeschlüsselt.</t>
  </si>
  <si>
    <t>4. Trend erkennen</t>
  </si>
  <si>
    <t>Der monatliche Trend-Chart zeigt, ob die Dauer über die Zeit steigt oder sinkt.</t>
  </si>
  <si>
    <t>Die Trendlinie (linear) gibt eine Orientierung über die Gesamtentwicklung.</t>
  </si>
  <si>
    <t>Die Spalte 'Trend' in der Produkt-x-Jahr-Tabelle zeigt ✅/⚠️ pro Produkttyp.</t>
  </si>
  <si>
    <t>5. Neue Jahre</t>
  </si>
  <si>
    <t>Wenn ein neues Jahr (z.B. 2027) in den Rohdaten auftaucht:</t>
  </si>
  <si>
    <t>→ Im Dashboard und Auswertung eine neue Jahres-Spalte ergänzen und Formeln anpassen.</t>
  </si>
  <si>
    <t>Musikzug TSV 1895 Burgfarnbach e.V.</t>
  </si>
  <si>
    <t xml:space="preserve">Deutsche Fussball Akademie </t>
  </si>
  <si>
    <t>Stadt Langen</t>
  </si>
  <si>
    <t>TSV Obergimpern e.V.</t>
  </si>
  <si>
    <t xml:space="preserve">Oldtimer Freunde Langenau e.V. </t>
  </si>
  <si>
    <t>Sozialstation der ev. + kath. Kirchen-</t>
  </si>
  <si>
    <t>TSV Neu- Ulm 1880 e.V</t>
  </si>
  <si>
    <t>Freiwillige Feuerwehr Birstein- Sotzbach</t>
  </si>
  <si>
    <t xml:space="preserve">Verein der Hundefreunde 1908 Pfungstadt </t>
  </si>
  <si>
    <t>Feuerwehrverein Lomersheim e.V</t>
  </si>
  <si>
    <t>FV Olympia Laupheim 1904 e.V</t>
  </si>
  <si>
    <t>Defibrillator</t>
  </si>
  <si>
    <t>07.05.2026</t>
  </si>
  <si>
    <t>26.05.2026</t>
  </si>
  <si>
    <t>21.05.2026</t>
  </si>
  <si>
    <t>12.05.2026</t>
  </si>
  <si>
    <t>08.05.2026</t>
  </si>
  <si>
    <t>20.05.2026</t>
  </si>
  <si>
    <t>15.05.2026</t>
  </si>
  <si>
    <t>TSB Heilbronn-Horkheim Handball e.V.</t>
  </si>
  <si>
    <t>Freiwillige Feuerwehr Althegnenberg e.V.</t>
  </si>
  <si>
    <t>Militärverein 1856 Pappenheim</t>
  </si>
  <si>
    <t xml:space="preserve">Tiergnadenhof und Jugendfarm Duisburg </t>
  </si>
  <si>
    <t>Kreiskrankenhaus Schrobenhausen GmbH</t>
  </si>
  <si>
    <t>Freiwillige Feuerwehr Moosbach</t>
  </si>
  <si>
    <t>Theaterschiff-Heilbronn</t>
  </si>
  <si>
    <t>Stadtjugendring Ulm e.V</t>
  </si>
  <si>
    <t>Freiwillige Feuerwehr Unterbiberg</t>
  </si>
  <si>
    <t>Freiwillige Feuerwehr Kettershausen</t>
  </si>
  <si>
    <t>Narrenverein Schlossberghexen Herrenberg</t>
  </si>
  <si>
    <t>FSV Wörth 1927 e.V</t>
  </si>
  <si>
    <t>2401052479</t>
  </si>
  <si>
    <t>18.06.2026</t>
  </si>
  <si>
    <t>10.06.2026</t>
  </si>
  <si>
    <t>01.06.2026</t>
  </si>
  <si>
    <t>16.06.2026</t>
  </si>
  <si>
    <t>22.06.2026</t>
  </si>
  <si>
    <t>05.06.2026</t>
  </si>
  <si>
    <t>17.06.2026</t>
  </si>
  <si>
    <t>19.06.2026</t>
  </si>
  <si>
    <t>25.06.2026</t>
  </si>
  <si>
    <t>28.06.2026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</si>
</sst>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m/d/yyyy"/>
    <numFmt numFmtId="166" formatCode="dd\.mm\.yyyy"/>
    <numFmt numFmtId="167" formatCode="mmm\ yyyy"/>
  </numFmts>
  <fonts count="20" x14ac:knownFonts="1">
    <font>
      <sz val="11"/>
      <color theme="1"/>
      <name val="Calibri"/>
      <family val="2"/>
      <charset val="1"/>
    </font>
    <font>
      <b/>
      <sz val="16"/>
      <color rgb="FFFFFFFF"/>
      <name val="Arial"/>
      <charset val="1"/>
    </font>
    <font>
      <b/>
      <sz val="12"/>
      <color rgb="FFFFFFFF"/>
      <name val="Arial"/>
      <charset val="1"/>
    </font>
    <font>
      <b/>
      <sz val="14"/>
      <color rgb="FF27AE60"/>
      <name val="Arial"/>
      <charset val="1"/>
    </font>
    <font>
      <i/>
      <sz val="9"/>
      <color rgb="FFB0BEC5"/>
      <name val="Arial"/>
      <charset val="1"/>
    </font>
    <font>
      <sz val="10"/>
      <color rgb="FFB0BEC5"/>
      <name val="Arial"/>
      <charset val="1"/>
    </font>
    <font>
      <b/>
      <sz val="20"/>
      <color rgb="FFFFFFFF"/>
      <name val="Arial"/>
      <charset val="1"/>
    </font>
    <font>
      <sz val="9"/>
      <color rgb="FFB0BEC5"/>
      <name val="Arial"/>
      <charset val="1"/>
    </font>
    <font>
      <b/>
      <sz val="13"/>
      <color rgb="FF4A90D9"/>
      <name val="Arial"/>
      <charset val="1"/>
    </font>
    <font>
      <b/>
      <sz val="11"/>
      <color rgb="FFFFFFFF"/>
      <name val="Arial"/>
      <charset val="1"/>
    </font>
    <font>
      <sz val="11"/>
      <color rgb="FFFFFFFF"/>
      <name val="Arial"/>
      <charset val="1"/>
    </font>
    <font>
      <sz val="10"/>
      <color rgb="FF1B2A4A"/>
      <name val="Arial"/>
      <charset val="1"/>
    </font>
    <font>
      <sz val="12"/>
      <name val="Arial"/>
      <family val="2"/>
      <charset val="1"/>
    </font>
    <font>
      <sz val="10"/>
      <color rgb="FF1B2A4A"/>
      <name val="Arial"/>
      <family val="2"/>
      <charset val="1"/>
    </font>
    <font>
      <sz val="10"/>
      <name val="Arial"/>
      <family val="2"/>
      <charset val="1"/>
    </font>
    <font>
      <b/>
      <sz val="11"/>
      <color rgb="FF1B2A4A"/>
      <name val="Arial"/>
      <charset val="1"/>
    </font>
    <font>
      <b/>
      <sz val="10"/>
      <color rgb="FF1B2A4A"/>
      <name val="Arial"/>
      <charset val="1"/>
    </font>
    <font>
      <b/>
      <sz val="14"/>
      <color rgb="FF1B2A4A"/>
      <name val="Arial"/>
      <charset val="1"/>
    </font>
    <font>
      <b/>
      <sz val="12"/>
      <color rgb="FF1B2A4A"/>
      <name val="Arial"/>
      <charset val="1"/>
    </font>
    <font>
      <sz val="12"/>
      <name val="Arial"/>
    </font>
  </fonts>
  <fills count="9">
    <fill>
      <patternFill patternType="none"/>
    </fill>
    <fill>
      <patternFill patternType="gray125"/>
    </fill>
    <fill>
      <patternFill patternType="solid">
        <fgColor rgb="FF1B2A4A"/>
        <bgColor rgb="FF243656"/>
      </patternFill>
    </fill>
    <fill>
      <patternFill patternType="solid">
        <fgColor rgb="FF1A3A2A"/>
        <bgColor rgb="FF243656"/>
      </patternFill>
    </fill>
    <fill>
      <patternFill patternType="solid">
        <fgColor rgb="FF243656"/>
        <bgColor rgb="FF2C4066"/>
      </patternFill>
    </fill>
    <fill>
      <patternFill patternType="solid">
        <fgColor rgb="FF2C4066"/>
        <bgColor rgb="FF2D4A7A"/>
      </patternFill>
    </fill>
    <fill>
      <patternFill patternType="solid">
        <fgColor rgb="FFF2F2F2"/>
        <bgColor rgb="FFFFFFFF"/>
      </patternFill>
    </fill>
    <fill>
      <patternFill patternType="solid">
        <fgColor rgb="FFFFF59D"/>
        <bgColor rgb="FFF2F2F2"/>
      </patternFill>
    </fill>
    <fill>
      <patternFill patternType="solid">
        <fgColor rgb="FFD6E4F0"/>
        <bgColor rgb="FFD9D9D9"/>
      </patternFill>
    </fill>
  </fills>
  <borders count="5">
    <border>
      <left/>
      <right/>
      <top/>
      <bottom/>
      <diagonal/>
    </border>
    <border>
      <left style="medium">
        <color rgb="FF27AE60"/>
      </left>
      <right style="medium">
        <color rgb="FF27AE60"/>
      </right>
      <top style="medium">
        <color rgb="FF27AE60"/>
      </top>
      <bottom style="medium">
        <color rgb="FF27AE60"/>
      </bottom>
      <diagonal/>
    </border>
    <border>
      <left/>
      <right/>
      <top style="thin">
        <color rgb="FF3A5070"/>
      </top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/>
      <diagonal/>
    </border>
  </borders>
  <cellStyleXfs count="1">
    <xf numFmtId="0" fontId="0" fillId="0" borderId="0"/>
  </cellStyleXfs>
  <cellXfs count="53">
    <xf numFmtId="0" fontId="0" fillId="0" borderId="0" xfId="0"/>
    <xf numFmtId="0" fontId="0" fillId="2" borderId="0" xfId="0" applyFill="1"/>
    <xf numFmtId="0" fontId="2" fillId="2" borderId="0" xfId="0" applyFont="1" applyFill="1" applyAlignment="1">
      <alignment horizontal="right" vertical="center"/>
    </xf>
    <xf numFmtId="0" fontId="3" fillId="3" borderId="1" xfId="0" applyFont="1" applyFill="1" applyBorder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164" fontId="6" fillId="4" borderId="0" xfId="0" applyNumberFormat="1" applyFont="1" applyFill="1" applyAlignment="1">
      <alignment horizontal="center" vertical="center"/>
    </xf>
    <xf numFmtId="1" fontId="6" fillId="4" borderId="0" xfId="0" applyNumberFormat="1" applyFont="1" applyFill="1" applyAlignment="1">
      <alignment horizontal="center" vertical="center"/>
    </xf>
    <xf numFmtId="0" fontId="7" fillId="4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left" vertical="center"/>
    </xf>
    <xf numFmtId="0" fontId="9" fillId="5" borderId="0" xfId="0" applyFont="1" applyFill="1" applyAlignment="1">
      <alignment horizontal="center" vertical="center"/>
    </xf>
    <xf numFmtId="0" fontId="10" fillId="4" borderId="0" xfId="0" applyFont="1" applyFill="1" applyAlignment="1">
      <alignment horizontal="left" vertical="center"/>
    </xf>
    <xf numFmtId="1" fontId="10" fillId="4" borderId="0" xfId="0" applyNumberFormat="1" applyFont="1" applyFill="1" applyAlignment="1">
      <alignment horizontal="center" vertical="center"/>
    </xf>
    <xf numFmtId="164" fontId="10" fillId="4" borderId="0" xfId="0" applyNumberFormat="1" applyFont="1" applyFill="1" applyAlignment="1">
      <alignment horizontal="center" vertical="center"/>
    </xf>
    <xf numFmtId="0" fontId="10" fillId="2" borderId="0" xfId="0" applyFont="1" applyFill="1" applyAlignment="1">
      <alignment horizontal="left" vertical="center"/>
    </xf>
    <xf numFmtId="1" fontId="10" fillId="2" borderId="0" xfId="0" applyNumberFormat="1" applyFont="1" applyFill="1" applyAlignment="1">
      <alignment horizontal="center" vertical="center"/>
    </xf>
    <xf numFmtId="164" fontId="10" fillId="2" borderId="0" xfId="0" applyNumberFormat="1" applyFont="1" applyFill="1" applyAlignment="1">
      <alignment horizontal="center" vertical="center"/>
    </xf>
    <xf numFmtId="0" fontId="0" fillId="2" borderId="2" xfId="0" applyFill="1" applyBorder="1"/>
    <xf numFmtId="165" fontId="0" fillId="0" borderId="0" xfId="0" applyNumberFormat="1"/>
    <xf numFmtId="0" fontId="9" fillId="2" borderId="3" xfId="0" applyFont="1" applyFill="1" applyBorder="1" applyAlignment="1">
      <alignment horizontal="center" vertical="center" wrapText="1"/>
    </xf>
    <xf numFmtId="165" fontId="9" fillId="2" borderId="3" xfId="0" applyNumberFormat="1" applyFont="1" applyFill="1" applyBorder="1" applyAlignment="1">
      <alignment horizontal="center" vertical="center" wrapText="1"/>
    </xf>
    <xf numFmtId="0" fontId="11" fillId="6" borderId="3" xfId="0" applyFont="1" applyFill="1" applyBorder="1"/>
    <xf numFmtId="165" fontId="11" fillId="6" borderId="3" xfId="0" applyNumberFormat="1" applyFont="1" applyFill="1" applyBorder="1"/>
    <xf numFmtId="0" fontId="11" fillId="0" borderId="3" xfId="0" applyFont="1" applyBorder="1"/>
    <xf numFmtId="165" fontId="11" fillId="0" borderId="3" xfId="0" applyNumberFormat="1" applyFont="1" applyBorder="1"/>
    <xf numFmtId="166" fontId="11" fillId="0" borderId="3" xfId="0" applyNumberFormat="1" applyFont="1" applyBorder="1"/>
    <xf numFmtId="0" fontId="11" fillId="6" borderId="4" xfId="0" applyFont="1" applyFill="1" applyBorder="1"/>
    <xf numFmtId="0" fontId="12" fillId="0" borderId="0" xfId="0" applyFont="1" applyAlignment="1">
      <alignment wrapText="1"/>
    </xf>
    <xf numFmtId="0" fontId="13" fillId="6" borderId="3" xfId="0" applyFont="1" applyFill="1" applyBorder="1"/>
    <xf numFmtId="166" fontId="12" fillId="0" borderId="0" xfId="0" applyNumberFormat="1" applyFont="1" applyAlignment="1">
      <alignment wrapText="1"/>
    </xf>
    <xf numFmtId="0" fontId="14" fillId="0" borderId="0" xfId="0" applyFont="1" applyAlignment="1">
      <alignment wrapText="1"/>
    </xf>
    <xf numFmtId="0" fontId="13" fillId="6" borderId="4" xfId="0" applyFont="1" applyFill="1" applyBorder="1"/>
    <xf numFmtId="166" fontId="0" fillId="0" borderId="0" xfId="0" applyNumberFormat="1"/>
    <xf numFmtId="0" fontId="15" fillId="8" borderId="0" xfId="0" applyFont="1" applyFill="1"/>
    <xf numFmtId="0" fontId="11" fillId="0" borderId="0" xfId="0" applyFont="1"/>
    <xf numFmtId="164" fontId="11" fillId="0" borderId="0" xfId="0" applyNumberFormat="1" applyFont="1"/>
    <xf numFmtId="1" fontId="11" fillId="0" borderId="0" xfId="0" applyNumberFormat="1" applyFont="1"/>
    <xf numFmtId="0" fontId="16" fillId="8" borderId="0" xfId="0" applyFont="1" applyFill="1"/>
    <xf numFmtId="0" fontId="16" fillId="0" borderId="0" xfId="0" applyFont="1"/>
    <xf numFmtId="164" fontId="16" fillId="0" borderId="0" xfId="0" applyNumberFormat="1" applyFont="1"/>
    <xf numFmtId="167" fontId="11" fillId="0" borderId="0" xfId="0" applyNumberFormat="1" applyFont="1"/>
    <xf numFmtId="0" fontId="19" fillId="0" borderId="0" xfId="0" applyFont="1" applyAlignment="1">
      <alignment wrapText="1"/>
    </xf>
    <xf numFmtId="0" fontId="1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8" fillId="2" borderId="0" xfId="0" applyFont="1" applyFill="1" applyAlignment="1">
      <alignment horizontal="left" vertical="center"/>
    </xf>
    <xf numFmtId="0" fontId="17" fillId="0" borderId="0" xfId="0" applyFont="1" applyAlignment="1">
      <alignment vertical="center" wrapText="1"/>
    </xf>
    <xf numFmtId="0" fontId="11" fillId="0" borderId="0" xfId="0" applyFont="1" applyAlignment="1">
      <alignment vertical="center" wrapText="1"/>
    </xf>
    <xf numFmtId="0" fontId="18" fillId="0" borderId="0" xfId="0" applyFont="1" applyAlignment="1">
      <alignment vertical="center" wrapText="1"/>
    </xf>
    <xf numFmtId="14" fontId="9" fillId="2" borderId="3" xfId="0" applyNumberFormat="1" applyFont="1" applyFill="1" applyBorder="1" applyAlignment="1">
      <alignment horizontal="center" vertical="center" wrapText="1"/>
    </xf>
    <xf numFmtId="14" fontId="0" fillId="0" borderId="0" xfId="0" applyNumberFormat="1"/>
    <xf numFmtId="14" fontId="11" fillId="6" borderId="3" xfId="0" applyNumberFormat="1" applyFont="1" applyFill="1" applyBorder="1"/>
    <xf numFmtId="14" fontId="11" fillId="0" borderId="3" xfId="0" applyNumberFormat="1" applyFont="1" applyBorder="1"/>
    <xf numFmtId="14" fontId="12" fillId="0" borderId="0" xfId="0" applyNumberFormat="1" applyFont="1" applyAlignment="1">
      <alignment wrapText="1"/>
    </xf>
    <xf numFmtId="14" fontId="0" fillId="7" borderId="0" xfId="0" applyNumberFormat="1" applyFill="1"/>
  </cellXfs>
  <cellStyles count="1">
    <cellStyle name="Standard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0BEC5"/>
      <rgbColor rgb="FF808080"/>
      <rgbColor rgb="FF9999FF"/>
      <rgbColor rgb="FF993366"/>
      <rgbColor rgb="FFF2F2F2"/>
      <rgbColor rgb="FFD6E4F0"/>
      <rgbColor rgb="FF660066"/>
      <rgbColor rgb="FFFF8080"/>
      <rgbColor rgb="FF2D4A7A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59D"/>
      <rgbColor rgb="FF99CCFF"/>
      <rgbColor rgb="FFFF99CC"/>
      <rgbColor rgb="FFCC99FF"/>
      <rgbColor rgb="FFFFCC99"/>
      <rgbColor rgb="FF4A90D9"/>
      <rgbColor rgb="FF33CCCC"/>
      <rgbColor rgb="FF99CC00"/>
      <rgbColor rgb="FFFFCC00"/>
      <rgbColor rgb="FFFF9900"/>
      <rgbColor rgb="FFFF6600"/>
      <rgbColor rgb="FF3A5070"/>
      <rgbColor rgb="FF70AD47"/>
      <rgbColor rgb="FF1B2A4A"/>
      <rgbColor rgb="FF27AE60"/>
      <rgbColor rgb="FF003300"/>
      <rgbColor rgb="FF1A3A2A"/>
      <rgbColor rgb="FF993300"/>
      <rgbColor rgb="FF993366"/>
      <rgbColor rgb="FF2C4066"/>
      <rgbColor rgb="FF24365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4A90D9"/>
  </sheetPr>
  <dimension ref="A1:G44"/>
  <sheetViews>
    <sheetView zoomScaleNormal="100" workbookViewId="0">
      <selection activeCell="B10" sqref="B10:F10"/>
    </sheetView>
  </sheetViews>
  <sheetFormatPr baseColWidth="10" defaultColWidth="8.7109375" defaultRowHeight="15" x14ac:dyDescent="0.25"/>
  <cols>
    <col min="1" max="1" width="3" customWidth="1"/>
    <col min="2" max="2" width="30" customWidth="1"/>
    <col min="3" max="6" width="14" customWidth="1"/>
    <col min="7" max="7" width="3" customWidth="1"/>
  </cols>
  <sheetData>
    <row r="1" spans="1:7" ht="15" customHeight="1" x14ac:dyDescent="0.25">
      <c r="A1" s="1"/>
      <c r="B1" s="1"/>
      <c r="C1" s="1"/>
      <c r="D1" s="1"/>
      <c r="E1" s="1"/>
      <c r="F1" s="1"/>
      <c r="G1" s="1"/>
    </row>
    <row r="2" spans="1:7" ht="30" customHeight="1" x14ac:dyDescent="0.25">
      <c r="A2" s="1"/>
      <c r="B2" s="41" t="s">
        <v>0</v>
      </c>
      <c r="C2" s="41"/>
      <c r="D2" s="41"/>
      <c r="E2" s="41"/>
      <c r="F2" s="41"/>
      <c r="G2" s="1"/>
    </row>
    <row r="3" spans="1:7" ht="15" customHeight="1" x14ac:dyDescent="0.25">
      <c r="A3" s="1"/>
      <c r="B3" s="1"/>
      <c r="C3" s="1"/>
      <c r="D3" s="1"/>
      <c r="E3" s="1"/>
      <c r="F3" s="1"/>
      <c r="G3" s="1"/>
    </row>
    <row r="4" spans="1:7" ht="24.75" customHeight="1" x14ac:dyDescent="0.25">
      <c r="A4" s="1"/>
      <c r="B4" s="2" t="s">
        <v>1</v>
      </c>
      <c r="C4" s="3">
        <v>2026</v>
      </c>
      <c r="D4" s="42"/>
      <c r="E4" s="42"/>
      <c r="F4" s="42"/>
      <c r="G4" s="1"/>
    </row>
    <row r="5" spans="1:7" ht="15" customHeight="1" x14ac:dyDescent="0.25">
      <c r="A5" s="1"/>
      <c r="B5" s="1"/>
      <c r="C5" s="1"/>
      <c r="D5" s="1"/>
      <c r="E5" s="1"/>
      <c r="F5" s="1"/>
      <c r="G5" s="1"/>
    </row>
    <row r="6" spans="1:7" ht="15" customHeight="1" x14ac:dyDescent="0.25">
      <c r="A6" s="1"/>
      <c r="B6" s="4" t="s">
        <v>2</v>
      </c>
      <c r="C6" s="4" t="s">
        <v>3</v>
      </c>
      <c r="D6" s="4" t="s">
        <v>4</v>
      </c>
      <c r="E6" s="4" t="s">
        <v>5</v>
      </c>
      <c r="F6" s="1"/>
      <c r="G6" s="1"/>
    </row>
    <row r="7" spans="1:7" ht="34.5" customHeight="1" x14ac:dyDescent="0.25">
      <c r="A7" s="1"/>
      <c r="B7" s="5">
        <f>AVERAGEIFS(Rohdaten!F:F,Rohdaten!G:G,$C$4,Rohdaten!F:F,"&gt;0",Rohdaten!F:F,"&lt;=150")</f>
        <v>70.2</v>
      </c>
      <c r="C7" s="6">
        <f>COUNTIFS(Rohdaten!G:G,$C$4,Rohdaten!F:F,"&gt;0",Rohdaten!F:F,"&lt;=150")</f>
        <v>55</v>
      </c>
      <c r="D7" s="6">
        <f>_xlfn.MINIFS(Rohdaten!F:F,Rohdaten!G:G,$C$4,Rohdaten!F:F,"&gt;0",Rohdaten!F:F,"&lt;=150")</f>
        <v>14</v>
      </c>
      <c r="E7" s="6">
        <f>_xlfn.MAXIFS(Rohdaten!F:F,Rohdaten!G:G,$C$4,Rohdaten!F:F,"&gt;0",Rohdaten!F:F,"&lt;=150")</f>
        <v>142</v>
      </c>
      <c r="F7" s="1"/>
      <c r="G7" s="1"/>
    </row>
    <row r="8" spans="1:7" ht="15" customHeight="1" x14ac:dyDescent="0.25">
      <c r="A8" s="1"/>
      <c r="B8" s="7" t="s">
        <v>6</v>
      </c>
      <c r="C8" s="7" t="s">
        <v>7</v>
      </c>
      <c r="D8" s="7" t="s">
        <v>6</v>
      </c>
      <c r="E8" s="7" t="s">
        <v>6</v>
      </c>
      <c r="F8" s="1"/>
      <c r="G8" s="1"/>
    </row>
    <row r="9" spans="1:7" ht="15" customHeight="1" x14ac:dyDescent="0.25">
      <c r="A9" s="1"/>
      <c r="B9" s="1"/>
      <c r="C9" s="1"/>
      <c r="D9" s="1"/>
      <c r="E9" s="1"/>
      <c r="F9" s="1"/>
      <c r="G9" s="1"/>
    </row>
    <row r="10" spans="1:7" ht="15.75" customHeight="1" x14ac:dyDescent="0.25">
      <c r="A10" s="1"/>
      <c r="B10" s="43" t="s">
        <v>8</v>
      </c>
      <c r="C10" s="43"/>
      <c r="D10" s="43"/>
      <c r="E10" s="43"/>
      <c r="F10" s="43"/>
      <c r="G10" s="1"/>
    </row>
    <row r="11" spans="1:7" ht="15" customHeight="1" x14ac:dyDescent="0.25">
      <c r="A11" s="1"/>
      <c r="B11" s="8" t="s">
        <v>9</v>
      </c>
      <c r="C11" s="9" t="s">
        <v>10</v>
      </c>
      <c r="D11" s="9" t="s">
        <v>11</v>
      </c>
      <c r="E11" s="9" t="s">
        <v>12</v>
      </c>
      <c r="F11" s="9" t="s">
        <v>13</v>
      </c>
      <c r="G11" s="1"/>
    </row>
    <row r="12" spans="1:7" ht="15" customHeight="1" x14ac:dyDescent="0.25">
      <c r="A12" s="1"/>
      <c r="B12" s="10" t="s">
        <v>14</v>
      </c>
      <c r="C12" s="11">
        <f>COUNTIFS(Rohdaten!G:G,$C$4,Rohdaten!C:C,"Torzähler ""Plus"" 5 Jahre",Rohdaten!F:F,"&gt;0",Rohdaten!F:F,"&lt;=150")</f>
        <v>8</v>
      </c>
      <c r="D12" s="12">
        <f>IF(COUNTIFS(Rohdaten!G:G,$C$4,Rohdaten!C:C,"Torzähler ""Plus"" 5 Jahre",Rohdaten!F:F,"&gt;0",Rohdaten!F:F,"&lt;=150")&gt;0,AVERAGEIFS(Rohdaten!F:F,Rohdaten!G:G,$C$4,Rohdaten!C:C,"Torzähler ""Plus"" 5 Jahre",Rohdaten!F:F,"&gt;0",Rohdaten!F:F,"&lt;=150"),"-")</f>
        <v>79.75</v>
      </c>
      <c r="E12" s="11">
        <f>IF(COUNTIFS(Rohdaten!G:G,$C$4,Rohdaten!C:C,"Torzähler ""Plus"" 5 Jahre",Rohdaten!F:F,"&gt;0",Rohdaten!F:F,"&lt;=150")&gt;0,_xlfn.MINIFS(Rohdaten!F:F,Rohdaten!G:G,$C$4,Rohdaten!C:C,"Torzähler ""Plus"" 5 Jahre",Rohdaten!F:F,"&gt;0",Rohdaten!F:F,"&lt;=150"),"-")</f>
        <v>25</v>
      </c>
      <c r="F12" s="11">
        <f>IF(COUNTIFS(Rohdaten!G:G,$C$4,Rohdaten!C:C,"Torzähler ""Plus"" 5 Jahre",Rohdaten!F:F,"&gt;0",Rohdaten!F:F,"&lt;=150")&gt;0,_xlfn.MAXIFS(Rohdaten!F:F,Rohdaten!G:G,$C$4,Rohdaten!C:C,"Torzähler ""Plus"" 5 Jahre",Rohdaten!F:F,"&gt;0",Rohdaten!F:F,"&lt;=150"),"-")</f>
        <v>126</v>
      </c>
      <c r="G12" s="1"/>
    </row>
    <row r="13" spans="1:7" ht="15" customHeight="1" x14ac:dyDescent="0.25">
      <c r="A13" s="1"/>
      <c r="B13" s="13" t="s">
        <v>15</v>
      </c>
      <c r="C13" s="14">
        <f>COUNTIFS(Rohdaten!G:G,$C$4,Rohdaten!C:C,"Fahrzeug",Rohdaten!F:F,"&gt;0",Rohdaten!F:F,"&lt;=150")</f>
        <v>18</v>
      </c>
      <c r="D13" s="15">
        <f>IF(COUNTIFS(Rohdaten!G:G,$C$4,Rohdaten!C:C,"Fahrzeug",Rohdaten!F:F,"&gt;0",Rohdaten!F:F,"&lt;=150")&gt;0,AVERAGEIFS(Rohdaten!F:F,Rohdaten!G:G,$C$4,Rohdaten!C:C,"Fahrzeug",Rohdaten!F:F,"&gt;0",Rohdaten!F:F,"&lt;=150"),"-")</f>
        <v>66.833333333333329</v>
      </c>
      <c r="E13" s="14">
        <f>IF(COUNTIFS(Rohdaten!G:G,$C$4,Rohdaten!C:C,"Fahrzeug",Rohdaten!F:F,"&gt;0",Rohdaten!F:F,"&lt;=150")&gt;0,_xlfn.MINIFS(Rohdaten!F:F,Rohdaten!G:G,$C$4,Rohdaten!C:C,"Fahrzeug",Rohdaten!F:F,"&gt;0",Rohdaten!F:F,"&lt;=150"),"-")</f>
        <v>16</v>
      </c>
      <c r="F13" s="14">
        <f>IF(COUNTIFS(Rohdaten!G:G,$C$4,Rohdaten!C:C,"Fahrzeug",Rohdaten!F:F,"&gt;0",Rohdaten!F:F,"&lt;=150")&gt;0,_xlfn.MAXIFS(Rohdaten!F:F,Rohdaten!G:G,$C$4,Rohdaten!C:C,"Fahrzeug",Rohdaten!F:F,"&gt;0",Rohdaten!F:F,"&lt;=150"),"-")</f>
        <v>142</v>
      </c>
      <c r="G13" s="1"/>
    </row>
    <row r="14" spans="1:7" ht="15" customHeight="1" x14ac:dyDescent="0.25">
      <c r="A14" s="1"/>
      <c r="B14" s="10" t="s">
        <v>16</v>
      </c>
      <c r="C14" s="11">
        <f>COUNTIFS(Rohdaten!G:G,$C$4,Rohdaten!C:C,"Kühlanhänger",Rohdaten!F:F,"&gt;0",Rohdaten!F:F,"&lt;=150")</f>
        <v>14</v>
      </c>
      <c r="D14" s="12">
        <f>IF(COUNTIFS(Rohdaten!G:G,$C$4,Rohdaten!C:C,"Kühlanhänger",Rohdaten!F:F,"&gt;0",Rohdaten!F:F,"&lt;=150")&gt;0,AVERAGEIFS(Rohdaten!F:F,Rohdaten!G:G,$C$4,Rohdaten!C:C,"Kühlanhänger",Rohdaten!F:F,"&gt;0",Rohdaten!F:F,"&lt;=150"),"-")</f>
        <v>77</v>
      </c>
      <c r="E14" s="11">
        <f>IF(COUNTIFS(Rohdaten!G:G,$C$4,Rohdaten!C:C,"Kühlanhänger",Rohdaten!F:F,"&gt;0",Rohdaten!F:F,"&lt;=150")&gt;0,_xlfn.MINIFS(Rohdaten!F:F,Rohdaten!G:G,$C$4,Rohdaten!C:C,"Kühlanhänger",Rohdaten!F:F,"&gt;0",Rohdaten!F:F,"&lt;=150"),"-")</f>
        <v>14</v>
      </c>
      <c r="F14" s="11">
        <f>IF(COUNTIFS(Rohdaten!G:G,$C$4,Rohdaten!C:C,"Kühlanhänger",Rohdaten!F:F,"&gt;0",Rohdaten!F:F,"&lt;=150")&gt;0,_xlfn.MAXIFS(Rohdaten!F:F,Rohdaten!G:G,$C$4,Rohdaten!C:C,"Kühlanhänger",Rohdaten!F:F,"&gt;0",Rohdaten!F:F,"&lt;=150"),"-")</f>
        <v>141</v>
      </c>
      <c r="G14" s="1"/>
    </row>
    <row r="15" spans="1:7" ht="15" customHeight="1" x14ac:dyDescent="0.25">
      <c r="A15" s="1"/>
      <c r="B15" s="13" t="s">
        <v>17</v>
      </c>
      <c r="C15" s="14">
        <f>COUNTIFS(Rohdaten!G:G,$C$4,Rohdaten!C:C,"Torzähler Mobil",Rohdaten!F:F,"&gt;0",Rohdaten!F:F,"&lt;=150")</f>
        <v>4</v>
      </c>
      <c r="D15" s="15">
        <f>IF(COUNTIFS(Rohdaten!G:G,$C$4,Rohdaten!C:C,"Torzähler Mobil",Rohdaten!F:F,"&gt;0",Rohdaten!F:F,"&lt;=150")&gt;0,AVERAGEIFS(Rohdaten!F:F,Rohdaten!G:G,$C$4,Rohdaten!C:C,"Torzähler Mobil",Rohdaten!F:F,"&gt;0",Rohdaten!F:F,"&lt;=150"),"-")</f>
        <v>40.75</v>
      </c>
      <c r="E15" s="14">
        <f>IF(COUNTIFS(Rohdaten!G:G,$C$4,Rohdaten!C:C,"Torzähler Mobil",Rohdaten!F:F,"&gt;0",Rohdaten!F:F,"&lt;=150")&gt;0,_xlfn.MINIFS(Rohdaten!F:F,Rohdaten!G:G,$C$4,Rohdaten!C:C,"Torzähler Mobil",Rohdaten!F:F,"&gt;0",Rohdaten!F:F,"&lt;=150"),"-")</f>
        <v>16</v>
      </c>
      <c r="F15" s="14">
        <f>IF(COUNTIFS(Rohdaten!G:G,$C$4,Rohdaten!C:C,"Torzähler Mobil",Rohdaten!F:F,"&gt;0",Rohdaten!F:F,"&lt;=150")&gt;0,_xlfn.MAXIFS(Rohdaten!F:F,Rohdaten!G:G,$C$4,Rohdaten!C:C,"Torzähler Mobil",Rohdaten!F:F,"&gt;0",Rohdaten!F:F,"&lt;=150"),"-")</f>
        <v>87</v>
      </c>
      <c r="G15" s="1"/>
    </row>
    <row r="16" spans="1:7" ht="15" customHeight="1" x14ac:dyDescent="0.25">
      <c r="A16" s="1"/>
      <c r="B16" s="10" t="s">
        <v>18</v>
      </c>
      <c r="C16" s="11">
        <f>COUNTIFS(Rohdaten!G:G,$C$4,Rohdaten!C:C,"Eventanhänger",Rohdaten!F:F,"&gt;0",Rohdaten!F:F,"&lt;=150")</f>
        <v>6</v>
      </c>
      <c r="D16" s="12">
        <f>IF(COUNTIFS(Rohdaten!G:G,$C$4,Rohdaten!C:C,"Eventanhänger",Rohdaten!F:F,"&gt;0",Rohdaten!F:F,"&lt;=150")&gt;0,AVERAGEIFS(Rohdaten!F:F,Rohdaten!G:G,$C$4,Rohdaten!C:C,"Eventanhänger",Rohdaten!F:F,"&gt;0",Rohdaten!F:F,"&lt;=150"),"-")</f>
        <v>82.333333333333329</v>
      </c>
      <c r="E16" s="11">
        <f>IF(COUNTIFS(Rohdaten!G:G,$C$4,Rohdaten!C:C,"Eventanhänger",Rohdaten!F:F,"&gt;0",Rohdaten!F:F,"&lt;=150")&gt;0,_xlfn.MINIFS(Rohdaten!F:F,Rohdaten!G:G,$C$4,Rohdaten!C:C,"Eventanhänger",Rohdaten!F:F,"&gt;0",Rohdaten!F:F,"&lt;=150"),"-")</f>
        <v>34</v>
      </c>
      <c r="F16" s="11">
        <f>IF(COUNTIFS(Rohdaten!G:G,$C$4,Rohdaten!C:C,"Eventanhänger",Rohdaten!F:F,"&gt;0",Rohdaten!F:F,"&lt;=150")&gt;0,_xlfn.MAXIFS(Rohdaten!F:F,Rohdaten!G:G,$C$4,Rohdaten!C:C,"Eventanhänger",Rohdaten!F:F,"&gt;0",Rohdaten!F:F,"&lt;=150"),"-")</f>
        <v>108</v>
      </c>
      <c r="G16" s="1"/>
    </row>
    <row r="17" spans="1:7" ht="15" customHeight="1" x14ac:dyDescent="0.25">
      <c r="A17" s="1"/>
      <c r="B17" s="13" t="s">
        <v>19</v>
      </c>
      <c r="C17" s="14">
        <f>COUNTIFS(Rohdaten!G:G,$C$4,Rohdaten!C:C,"Altfahrzeug Neu Beworben",Rohdaten!F:F,"&gt;0",Rohdaten!F:F,"&lt;=150")</f>
        <v>3</v>
      </c>
      <c r="D17" s="15">
        <f>IF(COUNTIFS(Rohdaten!G:G,$C$4,Rohdaten!C:C,"Altfahrzeug Neu Beworben",Rohdaten!F:F,"&gt;0",Rohdaten!F:F,"&lt;=150")&gt;0,AVERAGEIFS(Rohdaten!F:F,Rohdaten!G:G,$C$4,Rohdaten!C:C,"Altfahrzeug Neu Beworben",Rohdaten!F:F,"&gt;0",Rohdaten!F:F,"&lt;=150"),"-")</f>
        <v>30.666666666666668</v>
      </c>
      <c r="E17" s="14">
        <f>IF(COUNTIFS(Rohdaten!G:G,$C$4,Rohdaten!C:C,"Altfahrzeug Neu Beworben",Rohdaten!F:F,"&gt;0",Rohdaten!F:F,"&lt;=150")&gt;0,_xlfn.MINIFS(Rohdaten!F:F,Rohdaten!G:G,$C$4,Rohdaten!C:C,"Altfahrzeug Neu Beworben",Rohdaten!F:F,"&gt;0",Rohdaten!F:F,"&lt;=150"),"-")</f>
        <v>21</v>
      </c>
      <c r="F17" s="14">
        <f>IF(COUNTIFS(Rohdaten!G:G,$C$4,Rohdaten!C:C,"Altfahrzeug Neu Beworben",Rohdaten!F:F,"&gt;0",Rohdaten!F:F,"&lt;=150")&gt;0,_xlfn.MAXIFS(Rohdaten!F:F,Rohdaten!G:G,$C$4,Rohdaten!C:C,"Altfahrzeug Neu Beworben",Rohdaten!F:F,"&gt;0",Rohdaten!F:F,"&lt;=150"),"-")</f>
        <v>47</v>
      </c>
      <c r="G17" s="1"/>
    </row>
    <row r="18" spans="1:7" ht="15" customHeight="1" x14ac:dyDescent="0.25">
      <c r="A18" s="1"/>
      <c r="B18" s="16"/>
      <c r="C18" s="16"/>
      <c r="D18" s="16"/>
      <c r="E18" s="16"/>
      <c r="F18" s="16"/>
      <c r="G18" s="1"/>
    </row>
    <row r="19" spans="1:7" ht="15" customHeight="1" x14ac:dyDescent="0.25">
      <c r="A19" s="1"/>
      <c r="B19" s="1"/>
      <c r="C19" s="1"/>
      <c r="D19" s="1"/>
      <c r="E19" s="1"/>
      <c r="F19" s="1"/>
      <c r="G19" s="1"/>
    </row>
    <row r="20" spans="1:7" ht="15.75" customHeight="1" x14ac:dyDescent="0.25">
      <c r="A20" s="1"/>
      <c r="B20" s="43" t="s">
        <v>20</v>
      </c>
      <c r="C20" s="43"/>
      <c r="D20" s="43"/>
      <c r="E20" s="43"/>
      <c r="F20" s="43"/>
      <c r="G20" s="1"/>
    </row>
    <row r="21" spans="1:7" ht="15" customHeight="1" x14ac:dyDescent="0.25">
      <c r="A21" s="1"/>
      <c r="B21" s="8" t="s">
        <v>21</v>
      </c>
      <c r="C21" s="9" t="s">
        <v>10</v>
      </c>
      <c r="D21" s="9" t="s">
        <v>11</v>
      </c>
      <c r="E21" s="1"/>
      <c r="F21" s="1"/>
      <c r="G21" s="1"/>
    </row>
    <row r="22" spans="1:7" ht="15" customHeight="1" x14ac:dyDescent="0.25">
      <c r="A22" s="1"/>
      <c r="B22" s="10" t="s">
        <v>22</v>
      </c>
      <c r="C22" s="11">
        <f>COUNTIFS(Rohdaten!G:G,$C$4,Rohdaten!I:I,1,Rohdaten!F:F,"&gt;0",Rohdaten!F:F,"&lt;=150")</f>
        <v>1</v>
      </c>
      <c r="D22" s="12">
        <f>IFERROR(AVERAGEIFS(Rohdaten!F:F,Rohdaten!G:G,$C$4,Rohdaten!I:I,1,Rohdaten!F:F,"&gt;0",Rohdaten!F:F,"&lt;=150"),"-")</f>
        <v>97</v>
      </c>
      <c r="E22" s="1"/>
      <c r="F22" s="1"/>
      <c r="G22" s="1"/>
    </row>
    <row r="23" spans="1:7" ht="15" customHeight="1" x14ac:dyDescent="0.25">
      <c r="A23" s="1"/>
      <c r="B23" s="13" t="s">
        <v>23</v>
      </c>
      <c r="C23" s="14">
        <f>COUNTIFS(Rohdaten!G:G,$C$4,Rohdaten!I:I,2,Rohdaten!F:F,"&gt;0",Rohdaten!F:F,"&lt;=150")</f>
        <v>16</v>
      </c>
      <c r="D23" s="15">
        <f>IFERROR(AVERAGEIFS(Rohdaten!F:F,Rohdaten!G:G,$C$4,Rohdaten!I:I,2,Rohdaten!F:F,"&gt;0",Rohdaten!F:F,"&lt;=150"),"-")</f>
        <v>84</v>
      </c>
      <c r="E23" s="1"/>
      <c r="F23" s="1"/>
      <c r="G23" s="1"/>
    </row>
    <row r="24" spans="1:7" ht="15" customHeight="1" x14ac:dyDescent="0.25">
      <c r="A24" s="1"/>
      <c r="B24" s="10" t="s">
        <v>24</v>
      </c>
      <c r="C24" s="11">
        <f>COUNTIFS(Rohdaten!G:G,$C$4,Rohdaten!I:I,3,Rohdaten!F:F,"&gt;0",Rohdaten!F:F,"&lt;=150")</f>
        <v>22</v>
      </c>
      <c r="D24" s="12">
        <f>IFERROR(AVERAGEIFS(Rohdaten!F:F,Rohdaten!G:G,$C$4,Rohdaten!I:I,3,Rohdaten!F:F,"&gt;0",Rohdaten!F:F,"&lt;=150"),"-")</f>
        <v>71.13636363636364</v>
      </c>
      <c r="E24" s="1"/>
      <c r="F24" s="1"/>
      <c r="G24" s="1"/>
    </row>
    <row r="25" spans="1:7" ht="15" customHeight="1" x14ac:dyDescent="0.25">
      <c r="A25" s="1"/>
      <c r="B25" s="13" t="s">
        <v>25</v>
      </c>
      <c r="C25" s="14">
        <f>COUNTIFS(Rohdaten!G:G,$C$4,Rohdaten!I:I,4,Rohdaten!F:F,"&gt;0",Rohdaten!F:F,"&lt;=150")</f>
        <v>16</v>
      </c>
      <c r="D25" s="15">
        <f>IFERROR(AVERAGEIFS(Rohdaten!F:F,Rohdaten!G:G,$C$4,Rohdaten!I:I,4,Rohdaten!F:F,"&gt;0",Rohdaten!F:F,"&lt;=150"),"-")</f>
        <v>53.4375</v>
      </c>
      <c r="E25" s="1"/>
      <c r="F25" s="1"/>
      <c r="G25" s="1"/>
    </row>
    <row r="26" spans="1:7" ht="15" customHeight="1" x14ac:dyDescent="0.25">
      <c r="A26" s="1"/>
      <c r="B26" s="10" t="s">
        <v>26</v>
      </c>
      <c r="C26" s="11">
        <f>COUNTIFS(Rohdaten!G:G,$C$4,Rohdaten!I:I,5,Rohdaten!F:F,"&gt;0",Rohdaten!F:F,"&lt;=150")</f>
        <v>0</v>
      </c>
      <c r="D26" s="12" t="str">
        <f>IFERROR(AVERAGEIFS(Rohdaten!F:F,Rohdaten!G:G,$C$4,Rohdaten!I:I,5,Rohdaten!F:F,"&gt;0",Rohdaten!F:F,"&lt;=150"),"-")</f>
        <v>-</v>
      </c>
      <c r="E26" s="1"/>
      <c r="F26" s="1"/>
      <c r="G26" s="1"/>
    </row>
    <row r="27" spans="1:7" ht="15" customHeight="1" x14ac:dyDescent="0.25">
      <c r="A27" s="1"/>
      <c r="B27" s="13" t="s">
        <v>27</v>
      </c>
      <c r="C27" s="14">
        <f>COUNTIFS(Rohdaten!G:G,$C$4,Rohdaten!I:I,6,Rohdaten!F:F,"&gt;0",Rohdaten!F:F,"&lt;=150")</f>
        <v>0</v>
      </c>
      <c r="D27" s="15" t="str">
        <f>IFERROR(AVERAGEIFS(Rohdaten!F:F,Rohdaten!G:G,$C$4,Rohdaten!I:I,6,Rohdaten!F:F,"&gt;0",Rohdaten!F:F,"&lt;=150"),"-")</f>
        <v>-</v>
      </c>
      <c r="E27" s="1"/>
      <c r="F27" s="1"/>
      <c r="G27" s="1"/>
    </row>
    <row r="28" spans="1:7" ht="15" customHeight="1" x14ac:dyDescent="0.25">
      <c r="A28" s="1"/>
      <c r="B28" s="10" t="s">
        <v>28</v>
      </c>
      <c r="C28" s="11">
        <f>COUNTIFS(Rohdaten!G:G,$C$4,Rohdaten!I:I,7,Rohdaten!F:F,"&gt;0",Rohdaten!F:F,"&lt;=150")</f>
        <v>0</v>
      </c>
      <c r="D28" s="12" t="str">
        <f>IFERROR(AVERAGEIFS(Rohdaten!F:F,Rohdaten!G:G,$C$4,Rohdaten!I:I,7,Rohdaten!F:F,"&gt;0",Rohdaten!F:F,"&lt;=150"),"-")</f>
        <v>-</v>
      </c>
      <c r="E28" s="1"/>
      <c r="F28" s="1"/>
      <c r="G28" s="1"/>
    </row>
    <row r="29" spans="1:7" ht="15" customHeight="1" x14ac:dyDescent="0.25">
      <c r="A29" s="1"/>
      <c r="B29" s="13" t="s">
        <v>29</v>
      </c>
      <c r="C29" s="14">
        <f>COUNTIFS(Rohdaten!G:G,$C$4,Rohdaten!I:I,8,Rohdaten!F:F,"&gt;0",Rohdaten!F:F,"&lt;=150")</f>
        <v>0</v>
      </c>
      <c r="D29" s="15" t="str">
        <f>IFERROR(AVERAGEIFS(Rohdaten!F:F,Rohdaten!G:G,$C$4,Rohdaten!I:I,8,Rohdaten!F:F,"&gt;0",Rohdaten!F:F,"&lt;=150"),"-")</f>
        <v>-</v>
      </c>
      <c r="E29" s="1"/>
      <c r="F29" s="1"/>
      <c r="G29" s="1"/>
    </row>
    <row r="30" spans="1:7" ht="15" customHeight="1" x14ac:dyDescent="0.25">
      <c r="A30" s="1"/>
      <c r="B30" s="10" t="s">
        <v>30</v>
      </c>
      <c r="C30" s="11">
        <f>COUNTIFS(Rohdaten!G:G,$C$4,Rohdaten!I:I,9,Rohdaten!F:F,"&gt;0",Rohdaten!F:F,"&lt;=150")</f>
        <v>0</v>
      </c>
      <c r="D30" s="12" t="str">
        <f>IFERROR(AVERAGEIFS(Rohdaten!F:F,Rohdaten!G:G,$C$4,Rohdaten!I:I,9,Rohdaten!F:F,"&gt;0",Rohdaten!F:F,"&lt;=150"),"-")</f>
        <v>-</v>
      </c>
      <c r="E30" s="1"/>
      <c r="F30" s="1"/>
      <c r="G30" s="1"/>
    </row>
    <row r="31" spans="1:7" ht="15" customHeight="1" x14ac:dyDescent="0.25">
      <c r="A31" s="1"/>
      <c r="B31" s="13" t="s">
        <v>31</v>
      </c>
      <c r="C31" s="14">
        <f>COUNTIFS(Rohdaten!G:G,$C$4,Rohdaten!I:I,10,Rohdaten!F:F,"&gt;0",Rohdaten!F:F,"&lt;=150")</f>
        <v>0</v>
      </c>
      <c r="D31" s="15" t="str">
        <f>IFERROR(AVERAGEIFS(Rohdaten!F:F,Rohdaten!G:G,$C$4,Rohdaten!I:I,10,Rohdaten!F:F,"&gt;0",Rohdaten!F:F,"&lt;=150"),"-")</f>
        <v>-</v>
      </c>
      <c r="E31" s="1"/>
      <c r="F31" s="1"/>
      <c r="G31" s="1"/>
    </row>
    <row r="32" spans="1:7" ht="15" customHeight="1" x14ac:dyDescent="0.25">
      <c r="A32" s="1"/>
      <c r="B32" s="10" t="s">
        <v>32</v>
      </c>
      <c r="C32" s="11">
        <f>COUNTIFS(Rohdaten!G:G,$C$4,Rohdaten!I:I,11,Rohdaten!F:F,"&gt;0",Rohdaten!F:F,"&lt;=150")</f>
        <v>0</v>
      </c>
      <c r="D32" s="12" t="str">
        <f>IFERROR(AVERAGEIFS(Rohdaten!F:F,Rohdaten!G:G,$C$4,Rohdaten!I:I,11,Rohdaten!F:F,"&gt;0",Rohdaten!F:F,"&lt;=150"),"-")</f>
        <v>-</v>
      </c>
      <c r="E32" s="1"/>
      <c r="F32" s="1"/>
      <c r="G32" s="1"/>
    </row>
    <row r="33" spans="1:7" ht="15" customHeight="1" x14ac:dyDescent="0.25">
      <c r="A33" s="1"/>
      <c r="B33" s="13" t="s">
        <v>33</v>
      </c>
      <c r="C33" s="14">
        <f>COUNTIFS(Rohdaten!G:G,$C$4,Rohdaten!I:I,12,Rohdaten!F:F,"&gt;0",Rohdaten!F:F,"&lt;=150")</f>
        <v>0</v>
      </c>
      <c r="D33" s="15" t="str">
        <f>IFERROR(AVERAGEIFS(Rohdaten!F:F,Rohdaten!G:G,$C$4,Rohdaten!I:I,12,Rohdaten!F:F,"&gt;0",Rohdaten!F:F,"&lt;=150"),"-")</f>
        <v>-</v>
      </c>
      <c r="E33" s="1"/>
      <c r="F33" s="1"/>
      <c r="G33" s="1"/>
    </row>
    <row r="34" spans="1:7" ht="15" customHeight="1" x14ac:dyDescent="0.25">
      <c r="A34" s="1"/>
      <c r="B34" s="1"/>
      <c r="C34" s="1"/>
      <c r="D34" s="1"/>
      <c r="E34" s="1"/>
      <c r="F34" s="1"/>
      <c r="G34" s="1"/>
    </row>
    <row r="35" spans="1:7" ht="15" customHeight="1" x14ac:dyDescent="0.25">
      <c r="A35" s="1"/>
      <c r="B35" s="1"/>
      <c r="C35" s="1"/>
      <c r="D35" s="1"/>
      <c r="E35" s="1"/>
      <c r="F35" s="1"/>
      <c r="G35" s="1"/>
    </row>
    <row r="36" spans="1:7" ht="15" customHeight="1" x14ac:dyDescent="0.25">
      <c r="A36" s="1"/>
      <c r="B36" s="1"/>
      <c r="C36" s="1"/>
      <c r="D36" s="1"/>
      <c r="E36" s="1"/>
      <c r="F36" s="1"/>
      <c r="G36" s="1"/>
    </row>
    <row r="37" spans="1:7" ht="15" customHeight="1" x14ac:dyDescent="0.25">
      <c r="A37" s="1"/>
      <c r="B37" s="1"/>
      <c r="C37" s="1"/>
      <c r="D37" s="1"/>
      <c r="E37" s="1"/>
      <c r="F37" s="1"/>
      <c r="G37" s="1"/>
    </row>
    <row r="38" spans="1:7" ht="15" customHeight="1" x14ac:dyDescent="0.25">
      <c r="A38" s="1"/>
      <c r="B38" s="1"/>
      <c r="C38" s="1"/>
      <c r="D38" s="1"/>
      <c r="E38" s="1"/>
      <c r="F38" s="1"/>
      <c r="G38" s="1"/>
    </row>
    <row r="39" spans="1:7" ht="15" customHeight="1" x14ac:dyDescent="0.25">
      <c r="A39" s="1"/>
      <c r="B39" s="1"/>
      <c r="C39" s="1"/>
      <c r="D39" s="1"/>
      <c r="E39" s="1"/>
      <c r="F39" s="1"/>
      <c r="G39" s="1"/>
    </row>
    <row r="40" spans="1:7" ht="15" customHeight="1" x14ac:dyDescent="0.25">
      <c r="A40" s="1"/>
      <c r="B40" s="1"/>
      <c r="C40" s="1"/>
      <c r="D40" s="1"/>
      <c r="E40" s="1"/>
      <c r="F40" s="1"/>
      <c r="G40" s="1"/>
    </row>
    <row r="41" spans="1:7" ht="15" customHeight="1" x14ac:dyDescent="0.25">
      <c r="A41" s="1"/>
      <c r="B41" s="1"/>
      <c r="C41" s="1"/>
      <c r="D41" s="1"/>
      <c r="E41" s="1"/>
      <c r="F41" s="1"/>
      <c r="G41" s="1"/>
    </row>
    <row r="42" spans="1:7" ht="15" customHeight="1" x14ac:dyDescent="0.25">
      <c r="A42" s="1"/>
      <c r="B42" s="1"/>
      <c r="C42" s="1"/>
      <c r="D42" s="1"/>
      <c r="E42" s="1"/>
      <c r="F42" s="1"/>
      <c r="G42" s="1"/>
    </row>
    <row r="43" spans="1:7" ht="15" customHeight="1" x14ac:dyDescent="0.25">
      <c r="A43" s="1"/>
      <c r="B43" s="1"/>
      <c r="C43" s="1"/>
      <c r="D43" s="1"/>
      <c r="E43" s="1"/>
      <c r="F43" s="1"/>
      <c r="G43" s="1"/>
    </row>
    <row r="44" spans="1:7" ht="15" customHeight="1" x14ac:dyDescent="0.25">
      <c r="A44" s="1"/>
      <c r="B44" s="1"/>
      <c r="C44" s="1"/>
      <c r="D44" s="1"/>
      <c r="E44" s="1"/>
      <c r="F44" s="1"/>
      <c r="G44" s="1"/>
    </row>
  </sheetData>
  <mergeCells count="4">
    <mergeCell ref="B2:F2"/>
    <mergeCell ref="D4:F4"/>
    <mergeCell ref="B10:F10"/>
    <mergeCell ref="B20:F20"/>
  </mergeCells>
  <dataValidations count="1">
    <dataValidation type="list" promptTitle="Jahresfilter" prompt="Jahr auswählen" sqref="C4" xr:uid="{00000000-0002-0000-0000-000000000000}">
      <formula1>"2025,2026"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B2A4A"/>
  </sheetPr>
  <dimension ref="A1:I226"/>
  <sheetViews>
    <sheetView tabSelected="1" zoomScaleNormal="100" workbookViewId="0">
      <pane ySplit="1" topLeftCell="A202" activePane="bottomLeft" state="frozen"/>
      <selection pane="bottomLeft" activeCell="E226" sqref="E226"/>
    </sheetView>
  </sheetViews>
  <sheetFormatPr baseColWidth="10" defaultColWidth="8.7109375" defaultRowHeight="15" x14ac:dyDescent="0.25"/>
  <cols>
    <col min="1" max="1" width="16" customWidth="1"/>
    <col min="2" max="2" width="42" customWidth="1"/>
    <col min="3" max="3" width="28" customWidth="1"/>
    <col min="4" max="4" width="20.7109375" style="48" customWidth="1"/>
    <col min="5" max="5" width="18" style="17" customWidth="1"/>
    <col min="6" max="6" width="22" customWidth="1"/>
    <col min="7" max="7" width="18" customWidth="1"/>
    <col min="8" max="8" width="14" customWidth="1"/>
    <col min="9" max="9" width="12" customWidth="1"/>
  </cols>
  <sheetData>
    <row r="1" spans="1:9" ht="26.25" customHeight="1" x14ac:dyDescent="0.25">
      <c r="A1" s="18" t="s">
        <v>34</v>
      </c>
      <c r="B1" s="18" t="s">
        <v>35</v>
      </c>
      <c r="C1" s="18" t="s">
        <v>9</v>
      </c>
      <c r="D1" s="47" t="s">
        <v>36</v>
      </c>
      <c r="E1" s="19" t="s">
        <v>37</v>
      </c>
      <c r="F1" s="18" t="s">
        <v>38</v>
      </c>
      <c r="G1" s="18" t="s">
        <v>39</v>
      </c>
      <c r="H1" s="18" t="s">
        <v>40</v>
      </c>
      <c r="I1" s="18" t="s">
        <v>41</v>
      </c>
    </row>
    <row r="2" spans="1:9" ht="15" customHeight="1" x14ac:dyDescent="0.25">
      <c r="A2">
        <v>2402052510</v>
      </c>
      <c r="B2" t="s">
        <v>42</v>
      </c>
      <c r="C2" t="s">
        <v>15</v>
      </c>
      <c r="D2" s="48">
        <v>46057</v>
      </c>
      <c r="E2" s="17">
        <v>46084</v>
      </c>
      <c r="F2">
        <f t="shared" ref="F2:F33" si="0">E2-D2</f>
        <v>27</v>
      </c>
      <c r="G2">
        <v>2026</v>
      </c>
      <c r="H2" t="s">
        <v>43</v>
      </c>
      <c r="I2">
        <v>3</v>
      </c>
    </row>
    <row r="3" spans="1:9" ht="15" customHeight="1" x14ac:dyDescent="0.25">
      <c r="A3">
        <v>2402052504</v>
      </c>
      <c r="B3" t="s">
        <v>44</v>
      </c>
      <c r="C3" t="s">
        <v>15</v>
      </c>
      <c r="D3" s="48">
        <v>45985</v>
      </c>
      <c r="E3" s="17">
        <v>46085</v>
      </c>
      <c r="F3">
        <f t="shared" si="0"/>
        <v>100</v>
      </c>
      <c r="G3">
        <v>2026</v>
      </c>
      <c r="H3" t="s">
        <v>43</v>
      </c>
      <c r="I3">
        <v>3</v>
      </c>
    </row>
    <row r="4" spans="1:9" ht="15" customHeight="1" x14ac:dyDescent="0.25">
      <c r="A4">
        <v>2407052686</v>
      </c>
      <c r="B4" t="s">
        <v>45</v>
      </c>
      <c r="C4" t="s">
        <v>15</v>
      </c>
      <c r="D4" s="48">
        <v>46013</v>
      </c>
      <c r="E4" s="17">
        <v>46086</v>
      </c>
      <c r="F4">
        <f t="shared" si="0"/>
        <v>73</v>
      </c>
      <c r="G4">
        <v>2026</v>
      </c>
      <c r="H4" t="s">
        <v>43</v>
      </c>
      <c r="I4">
        <v>3</v>
      </c>
    </row>
    <row r="5" spans="1:9" ht="15" customHeight="1" x14ac:dyDescent="0.25">
      <c r="A5">
        <v>2202051897</v>
      </c>
      <c r="B5" t="s">
        <v>46</v>
      </c>
      <c r="C5" t="s">
        <v>18</v>
      </c>
      <c r="D5" s="48">
        <v>46042</v>
      </c>
      <c r="E5" s="17">
        <v>46087</v>
      </c>
      <c r="F5">
        <f t="shared" si="0"/>
        <v>45</v>
      </c>
      <c r="G5">
        <v>2026</v>
      </c>
      <c r="H5" t="s">
        <v>43</v>
      </c>
      <c r="I5">
        <v>3</v>
      </c>
    </row>
    <row r="6" spans="1:9" ht="15" customHeight="1" x14ac:dyDescent="0.25">
      <c r="A6">
        <v>2502052818</v>
      </c>
      <c r="B6" t="s">
        <v>47</v>
      </c>
      <c r="C6" t="s">
        <v>18</v>
      </c>
      <c r="D6" s="48">
        <v>46057</v>
      </c>
      <c r="E6" s="17">
        <v>46091</v>
      </c>
      <c r="F6">
        <f t="shared" si="0"/>
        <v>34</v>
      </c>
      <c r="G6">
        <v>2026</v>
      </c>
      <c r="H6" t="s">
        <v>43</v>
      </c>
      <c r="I6">
        <v>3</v>
      </c>
    </row>
    <row r="7" spans="1:9" ht="15" customHeight="1" x14ac:dyDescent="0.25">
      <c r="A7">
        <v>2502052815</v>
      </c>
      <c r="B7" t="s">
        <v>48</v>
      </c>
      <c r="C7" t="s">
        <v>15</v>
      </c>
      <c r="D7" s="48">
        <v>46065</v>
      </c>
      <c r="E7" s="17">
        <v>46092</v>
      </c>
      <c r="F7">
        <f t="shared" si="0"/>
        <v>27</v>
      </c>
      <c r="G7">
        <v>2026</v>
      </c>
      <c r="H7" t="s">
        <v>43</v>
      </c>
      <c r="I7">
        <v>3</v>
      </c>
    </row>
    <row r="8" spans="1:9" ht="15" customHeight="1" x14ac:dyDescent="0.25">
      <c r="A8">
        <v>2407052675</v>
      </c>
      <c r="B8" t="s">
        <v>49</v>
      </c>
      <c r="C8" t="s">
        <v>15</v>
      </c>
      <c r="D8" s="48">
        <v>45950</v>
      </c>
      <c r="E8" s="17">
        <v>46092</v>
      </c>
      <c r="F8">
        <f t="shared" si="0"/>
        <v>142</v>
      </c>
      <c r="G8">
        <v>2026</v>
      </c>
      <c r="H8" t="s">
        <v>43</v>
      </c>
      <c r="I8">
        <v>3</v>
      </c>
    </row>
    <row r="9" spans="1:9" ht="15" customHeight="1" x14ac:dyDescent="0.25">
      <c r="A9">
        <v>2407052688</v>
      </c>
      <c r="B9" t="s">
        <v>50</v>
      </c>
      <c r="C9" t="s">
        <v>15</v>
      </c>
      <c r="D9" s="48">
        <v>46048</v>
      </c>
      <c r="E9" s="17">
        <v>46098</v>
      </c>
      <c r="F9">
        <f t="shared" si="0"/>
        <v>50</v>
      </c>
      <c r="G9">
        <v>2026</v>
      </c>
      <c r="H9" t="s">
        <v>43</v>
      </c>
      <c r="I9">
        <v>3</v>
      </c>
    </row>
    <row r="10" spans="1:9" ht="15" customHeight="1" x14ac:dyDescent="0.25">
      <c r="A10">
        <v>2507052961</v>
      </c>
      <c r="B10" t="s">
        <v>51</v>
      </c>
      <c r="C10" t="s">
        <v>52</v>
      </c>
      <c r="D10" s="48">
        <v>45966</v>
      </c>
      <c r="E10" s="17">
        <v>46100</v>
      </c>
      <c r="F10">
        <f t="shared" si="0"/>
        <v>134</v>
      </c>
      <c r="G10">
        <v>2026</v>
      </c>
      <c r="H10" t="s">
        <v>43</v>
      </c>
      <c r="I10">
        <v>3</v>
      </c>
    </row>
    <row r="11" spans="1:9" ht="15" customHeight="1" x14ac:dyDescent="0.25">
      <c r="A11">
        <v>2507052954</v>
      </c>
      <c r="B11" t="s">
        <v>53</v>
      </c>
      <c r="C11" t="s">
        <v>15</v>
      </c>
      <c r="D11" s="48">
        <v>46070</v>
      </c>
      <c r="E11" s="17">
        <v>46100</v>
      </c>
      <c r="F11">
        <f t="shared" si="0"/>
        <v>30</v>
      </c>
      <c r="G11">
        <v>2026</v>
      </c>
      <c r="H11" t="s">
        <v>43</v>
      </c>
      <c r="I11">
        <v>3</v>
      </c>
    </row>
    <row r="12" spans="1:9" ht="15" customHeight="1" x14ac:dyDescent="0.25">
      <c r="A12">
        <v>2504052871</v>
      </c>
      <c r="B12" t="s">
        <v>54</v>
      </c>
      <c r="C12" t="s">
        <v>16</v>
      </c>
      <c r="D12" s="48">
        <v>46000</v>
      </c>
      <c r="E12" s="17">
        <v>46100</v>
      </c>
      <c r="F12">
        <f t="shared" si="0"/>
        <v>100</v>
      </c>
      <c r="G12">
        <v>2026</v>
      </c>
      <c r="H12" t="s">
        <v>43</v>
      </c>
      <c r="I12">
        <v>3</v>
      </c>
    </row>
    <row r="13" spans="1:9" ht="15" customHeight="1" x14ac:dyDescent="0.25">
      <c r="A13">
        <v>2301052183</v>
      </c>
      <c r="B13" t="s">
        <v>55</v>
      </c>
      <c r="C13" t="s">
        <v>19</v>
      </c>
      <c r="D13" s="48">
        <v>46053</v>
      </c>
      <c r="E13" s="17">
        <v>46100</v>
      </c>
      <c r="F13">
        <f t="shared" si="0"/>
        <v>47</v>
      </c>
      <c r="G13">
        <v>2026</v>
      </c>
      <c r="H13" t="s">
        <v>43</v>
      </c>
      <c r="I13">
        <v>3</v>
      </c>
    </row>
    <row r="14" spans="1:9" ht="15" customHeight="1" x14ac:dyDescent="0.25">
      <c r="A14">
        <v>2504052897</v>
      </c>
      <c r="B14" t="s">
        <v>56</v>
      </c>
      <c r="C14" t="s">
        <v>18</v>
      </c>
      <c r="D14" s="48">
        <v>45993</v>
      </c>
      <c r="E14" s="17">
        <v>46101</v>
      </c>
      <c r="F14">
        <f t="shared" si="0"/>
        <v>108</v>
      </c>
      <c r="G14">
        <v>2026</v>
      </c>
      <c r="H14" t="s">
        <v>43</v>
      </c>
      <c r="I14">
        <v>3</v>
      </c>
    </row>
    <row r="15" spans="1:9" ht="15" customHeight="1" x14ac:dyDescent="0.25">
      <c r="A15">
        <v>2507052946</v>
      </c>
      <c r="B15" t="s">
        <v>57</v>
      </c>
      <c r="C15" t="s">
        <v>16</v>
      </c>
      <c r="D15" s="48">
        <v>46036</v>
      </c>
      <c r="E15" s="17">
        <v>46104</v>
      </c>
      <c r="F15">
        <f t="shared" si="0"/>
        <v>68</v>
      </c>
      <c r="G15">
        <v>2026</v>
      </c>
      <c r="H15" t="s">
        <v>43</v>
      </c>
      <c r="I15">
        <v>3</v>
      </c>
    </row>
    <row r="16" spans="1:9" ht="15" customHeight="1" x14ac:dyDescent="0.25">
      <c r="A16">
        <v>2505052923</v>
      </c>
      <c r="B16" t="s">
        <v>58</v>
      </c>
      <c r="C16" t="s">
        <v>16</v>
      </c>
      <c r="D16" s="48">
        <v>46043</v>
      </c>
      <c r="E16" s="17">
        <v>46107</v>
      </c>
      <c r="F16">
        <f t="shared" si="0"/>
        <v>64</v>
      </c>
      <c r="G16">
        <v>2026</v>
      </c>
      <c r="H16" t="s">
        <v>43</v>
      </c>
      <c r="I16">
        <v>3</v>
      </c>
    </row>
    <row r="17" spans="1:9" ht="15" customHeight="1" x14ac:dyDescent="0.25">
      <c r="A17">
        <v>2503052842</v>
      </c>
      <c r="B17" t="s">
        <v>59</v>
      </c>
      <c r="C17" t="s">
        <v>16</v>
      </c>
      <c r="D17" s="48">
        <v>46057</v>
      </c>
      <c r="E17" s="17">
        <v>46107</v>
      </c>
      <c r="F17">
        <f t="shared" si="0"/>
        <v>50</v>
      </c>
      <c r="G17">
        <v>2026</v>
      </c>
      <c r="H17" t="s">
        <v>43</v>
      </c>
      <c r="I17">
        <v>3</v>
      </c>
    </row>
    <row r="18" spans="1:9" ht="15" customHeight="1" x14ac:dyDescent="0.25">
      <c r="A18">
        <v>2509052986</v>
      </c>
      <c r="B18" t="s">
        <v>60</v>
      </c>
      <c r="C18" t="s">
        <v>16</v>
      </c>
      <c r="D18" s="48">
        <v>46059</v>
      </c>
      <c r="E18" s="17">
        <v>46108</v>
      </c>
      <c r="F18">
        <f t="shared" si="0"/>
        <v>49</v>
      </c>
      <c r="G18">
        <v>2026</v>
      </c>
      <c r="H18" t="s">
        <v>43</v>
      </c>
      <c r="I18">
        <v>3</v>
      </c>
    </row>
    <row r="19" spans="1:9" ht="15" customHeight="1" x14ac:dyDescent="0.25">
      <c r="A19">
        <v>2504052874</v>
      </c>
      <c r="B19" t="s">
        <v>61</v>
      </c>
      <c r="C19" t="s">
        <v>16</v>
      </c>
      <c r="D19" s="48">
        <v>45982</v>
      </c>
      <c r="E19" s="17">
        <v>46108</v>
      </c>
      <c r="F19">
        <f t="shared" si="0"/>
        <v>126</v>
      </c>
      <c r="G19">
        <v>2026</v>
      </c>
      <c r="H19" t="s">
        <v>43</v>
      </c>
      <c r="I19">
        <v>3</v>
      </c>
    </row>
    <row r="20" spans="1:9" ht="15" customHeight="1" x14ac:dyDescent="0.25">
      <c r="A20">
        <v>2407052682</v>
      </c>
      <c r="B20" t="s">
        <v>62</v>
      </c>
      <c r="C20" t="s">
        <v>15</v>
      </c>
      <c r="D20" s="48">
        <v>46065</v>
      </c>
      <c r="E20" s="17">
        <v>46112</v>
      </c>
      <c r="F20">
        <f t="shared" si="0"/>
        <v>47</v>
      </c>
      <c r="G20">
        <v>2026</v>
      </c>
      <c r="H20" t="s">
        <v>43</v>
      </c>
      <c r="I20">
        <v>3</v>
      </c>
    </row>
    <row r="21" spans="1:9" ht="15" customHeight="1" x14ac:dyDescent="0.25">
      <c r="A21">
        <v>2512053041</v>
      </c>
      <c r="B21" t="s">
        <v>63</v>
      </c>
      <c r="C21" t="s">
        <v>16</v>
      </c>
      <c r="D21" s="48">
        <v>46066</v>
      </c>
      <c r="E21" s="17">
        <v>46121</v>
      </c>
      <c r="F21">
        <f t="shared" si="0"/>
        <v>55</v>
      </c>
      <c r="G21">
        <v>2026</v>
      </c>
      <c r="H21" t="s">
        <v>64</v>
      </c>
      <c r="I21">
        <v>4</v>
      </c>
    </row>
    <row r="22" spans="1:9" ht="15" customHeight="1" x14ac:dyDescent="0.25">
      <c r="A22">
        <v>2508052972</v>
      </c>
      <c r="B22" t="s">
        <v>65</v>
      </c>
      <c r="C22" t="s">
        <v>16</v>
      </c>
      <c r="D22" s="48">
        <v>45986</v>
      </c>
      <c r="E22" s="17">
        <v>46122</v>
      </c>
      <c r="F22">
        <f t="shared" si="0"/>
        <v>136</v>
      </c>
      <c r="G22">
        <v>2026</v>
      </c>
      <c r="H22" t="s">
        <v>64</v>
      </c>
      <c r="I22">
        <v>4</v>
      </c>
    </row>
    <row r="23" spans="1:9" ht="15" customHeight="1" x14ac:dyDescent="0.25">
      <c r="A23">
        <v>2505052915</v>
      </c>
      <c r="B23" t="s">
        <v>66</v>
      </c>
      <c r="C23" t="s">
        <v>16</v>
      </c>
      <c r="D23" s="48">
        <v>46072</v>
      </c>
      <c r="E23" s="17">
        <v>46122</v>
      </c>
      <c r="F23">
        <f t="shared" si="0"/>
        <v>50</v>
      </c>
      <c r="G23">
        <v>2026</v>
      </c>
      <c r="H23" t="s">
        <v>64</v>
      </c>
      <c r="I23">
        <v>4</v>
      </c>
    </row>
    <row r="24" spans="1:9" ht="15" customHeight="1" x14ac:dyDescent="0.25">
      <c r="A24" s="20">
        <v>2503052855</v>
      </c>
      <c r="B24" s="20" t="s">
        <v>67</v>
      </c>
      <c r="C24" s="20" t="s">
        <v>15</v>
      </c>
      <c r="D24" s="49">
        <v>45972</v>
      </c>
      <c r="E24" s="21">
        <v>46070</v>
      </c>
      <c r="F24" s="20">
        <f t="shared" si="0"/>
        <v>98</v>
      </c>
      <c r="G24" s="20">
        <v>2026</v>
      </c>
      <c r="H24" s="20" t="str">
        <f t="shared" ref="H24:H55" si="1">"Q"&amp;INT((MONTH(E2)-1)/3)+1&amp;" "&amp;YEAR(E2)</f>
        <v>Q1 2026</v>
      </c>
      <c r="I24" s="20">
        <v>2</v>
      </c>
    </row>
    <row r="25" spans="1:9" ht="15" customHeight="1" x14ac:dyDescent="0.25">
      <c r="A25" s="22">
        <v>2406052661</v>
      </c>
      <c r="B25" s="22" t="s">
        <v>68</v>
      </c>
      <c r="C25" s="22" t="s">
        <v>14</v>
      </c>
      <c r="D25" s="50">
        <v>45875</v>
      </c>
      <c r="E25" s="23">
        <v>46066</v>
      </c>
      <c r="F25" s="22">
        <f t="shared" si="0"/>
        <v>191</v>
      </c>
      <c r="G25" s="22">
        <v>2026</v>
      </c>
      <c r="H25" s="22" t="str">
        <f t="shared" si="1"/>
        <v>Q1 2026</v>
      </c>
      <c r="I25" s="22">
        <v>2</v>
      </c>
    </row>
    <row r="26" spans="1:9" ht="15" customHeight="1" x14ac:dyDescent="0.25">
      <c r="A26" s="20">
        <v>2409052706</v>
      </c>
      <c r="B26" s="20" t="s">
        <v>69</v>
      </c>
      <c r="C26" s="20" t="s">
        <v>18</v>
      </c>
      <c r="D26" s="49">
        <v>45961</v>
      </c>
      <c r="E26" s="21">
        <v>46066</v>
      </c>
      <c r="F26" s="20">
        <f t="shared" si="0"/>
        <v>105</v>
      </c>
      <c r="G26" s="20">
        <v>2026</v>
      </c>
      <c r="H26" s="20" t="str">
        <f t="shared" si="1"/>
        <v>Q1 2026</v>
      </c>
      <c r="I26" s="20">
        <v>2</v>
      </c>
    </row>
    <row r="27" spans="1:9" ht="15" customHeight="1" x14ac:dyDescent="0.25">
      <c r="A27" s="22">
        <v>2502052826</v>
      </c>
      <c r="B27" s="22" t="s">
        <v>70</v>
      </c>
      <c r="C27" s="22" t="s">
        <v>15</v>
      </c>
      <c r="D27" s="50">
        <v>45992</v>
      </c>
      <c r="E27" s="23">
        <v>46064</v>
      </c>
      <c r="F27" s="22">
        <f t="shared" si="0"/>
        <v>72</v>
      </c>
      <c r="G27" s="22">
        <v>2026</v>
      </c>
      <c r="H27" s="22" t="str">
        <f t="shared" si="1"/>
        <v>Q1 2026</v>
      </c>
      <c r="I27" s="22">
        <v>2</v>
      </c>
    </row>
    <row r="28" spans="1:9" ht="15" customHeight="1" x14ac:dyDescent="0.25">
      <c r="A28" s="20">
        <v>2501052799</v>
      </c>
      <c r="B28" s="20" t="s">
        <v>71</v>
      </c>
      <c r="C28" s="20" t="s">
        <v>14</v>
      </c>
      <c r="D28" s="49">
        <v>45905</v>
      </c>
      <c r="E28" s="21">
        <v>46064</v>
      </c>
      <c r="F28" s="20">
        <f t="shared" si="0"/>
        <v>159</v>
      </c>
      <c r="G28" s="20">
        <v>2026</v>
      </c>
      <c r="H28" s="20" t="str">
        <f t="shared" si="1"/>
        <v>Q1 2026</v>
      </c>
      <c r="I28" s="20">
        <v>2</v>
      </c>
    </row>
    <row r="29" spans="1:9" ht="15" customHeight="1" x14ac:dyDescent="0.25">
      <c r="A29" s="22">
        <v>2405052628</v>
      </c>
      <c r="B29" s="22" t="s">
        <v>72</v>
      </c>
      <c r="C29" s="22" t="s">
        <v>14</v>
      </c>
      <c r="D29" s="50">
        <v>46008</v>
      </c>
      <c r="E29" s="23">
        <v>46064</v>
      </c>
      <c r="F29" s="22">
        <f t="shared" si="0"/>
        <v>56</v>
      </c>
      <c r="G29" s="22">
        <v>2026</v>
      </c>
      <c r="H29" s="22" t="str">
        <f t="shared" si="1"/>
        <v>Q1 2026</v>
      </c>
      <c r="I29" s="22">
        <v>2</v>
      </c>
    </row>
    <row r="30" spans="1:9" ht="15" customHeight="1" x14ac:dyDescent="0.25">
      <c r="A30" s="20">
        <v>2503052854</v>
      </c>
      <c r="B30" s="20" t="s">
        <v>73</v>
      </c>
      <c r="C30" s="20" t="s">
        <v>16</v>
      </c>
      <c r="D30" s="49">
        <v>45985</v>
      </c>
      <c r="E30" s="21">
        <v>46062</v>
      </c>
      <c r="F30" s="20">
        <f t="shared" si="0"/>
        <v>77</v>
      </c>
      <c r="G30" s="20">
        <v>2026</v>
      </c>
      <c r="H30" s="20" t="str">
        <f t="shared" si="1"/>
        <v>Q1 2026</v>
      </c>
      <c r="I30" s="20">
        <v>2</v>
      </c>
    </row>
    <row r="31" spans="1:9" ht="15" customHeight="1" x14ac:dyDescent="0.25">
      <c r="A31" s="22">
        <v>2311052463</v>
      </c>
      <c r="B31" s="22" t="s">
        <v>74</v>
      </c>
      <c r="C31" s="22" t="s">
        <v>15</v>
      </c>
      <c r="D31" s="50">
        <v>45987</v>
      </c>
      <c r="E31" s="23">
        <v>46058</v>
      </c>
      <c r="F31" s="22">
        <f t="shared" si="0"/>
        <v>71</v>
      </c>
      <c r="G31" s="22">
        <v>2026</v>
      </c>
      <c r="H31" s="22" t="str">
        <f t="shared" si="1"/>
        <v>Q1 2026</v>
      </c>
      <c r="I31" s="22">
        <v>2</v>
      </c>
    </row>
    <row r="32" spans="1:9" ht="15" customHeight="1" x14ac:dyDescent="0.25">
      <c r="A32" s="20">
        <v>2311052463</v>
      </c>
      <c r="B32" s="20" t="s">
        <v>75</v>
      </c>
      <c r="C32" s="20" t="s">
        <v>15</v>
      </c>
      <c r="D32" s="49">
        <v>45987</v>
      </c>
      <c r="E32" s="21">
        <v>46058</v>
      </c>
      <c r="F32" s="20">
        <f t="shared" si="0"/>
        <v>71</v>
      </c>
      <c r="G32" s="20">
        <v>2026</v>
      </c>
      <c r="H32" s="20" t="str">
        <f t="shared" si="1"/>
        <v>Q1 2026</v>
      </c>
      <c r="I32" s="20">
        <v>2</v>
      </c>
    </row>
    <row r="33" spans="1:9" ht="15" customHeight="1" x14ac:dyDescent="0.25">
      <c r="A33" s="22">
        <v>2402052527</v>
      </c>
      <c r="B33" s="22" t="s">
        <v>76</v>
      </c>
      <c r="C33" s="22" t="s">
        <v>15</v>
      </c>
      <c r="D33" s="50">
        <v>45981</v>
      </c>
      <c r="E33" s="23">
        <v>46057</v>
      </c>
      <c r="F33" s="22">
        <f t="shared" si="0"/>
        <v>76</v>
      </c>
      <c r="G33" s="22">
        <v>2026</v>
      </c>
      <c r="H33" s="22" t="str">
        <f t="shared" si="1"/>
        <v>Q1 2026</v>
      </c>
      <c r="I33" s="22">
        <v>2</v>
      </c>
    </row>
    <row r="34" spans="1:9" ht="15" customHeight="1" x14ac:dyDescent="0.25">
      <c r="A34" s="20">
        <v>2402052527</v>
      </c>
      <c r="B34" s="20" t="s">
        <v>77</v>
      </c>
      <c r="C34" s="20" t="s">
        <v>15</v>
      </c>
      <c r="D34" s="49">
        <v>45981</v>
      </c>
      <c r="E34" s="21">
        <v>46057</v>
      </c>
      <c r="F34" s="20">
        <f t="shared" ref="F34:F65" si="2">E34-D34</f>
        <v>76</v>
      </c>
      <c r="G34" s="20">
        <v>2026</v>
      </c>
      <c r="H34" s="20" t="str">
        <f t="shared" si="1"/>
        <v>Q1 2026</v>
      </c>
      <c r="I34" s="20">
        <v>2</v>
      </c>
    </row>
    <row r="35" spans="1:9" ht="15" customHeight="1" x14ac:dyDescent="0.25">
      <c r="A35" s="22">
        <v>2407052681</v>
      </c>
      <c r="B35" s="22" t="s">
        <v>78</v>
      </c>
      <c r="C35" s="22" t="s">
        <v>18</v>
      </c>
      <c r="D35" s="50">
        <v>45954</v>
      </c>
      <c r="E35" s="23">
        <v>46055</v>
      </c>
      <c r="F35" s="22">
        <f t="shared" si="2"/>
        <v>101</v>
      </c>
      <c r="G35" s="22">
        <v>2026</v>
      </c>
      <c r="H35" s="22" t="str">
        <f t="shared" si="1"/>
        <v>Q1 2026</v>
      </c>
      <c r="I35" s="22">
        <v>2</v>
      </c>
    </row>
    <row r="36" spans="1:9" ht="15" customHeight="1" x14ac:dyDescent="0.25">
      <c r="A36" s="20">
        <v>2407052681</v>
      </c>
      <c r="B36" s="20" t="s">
        <v>79</v>
      </c>
      <c r="C36" s="20" t="s">
        <v>18</v>
      </c>
      <c r="D36" s="49">
        <v>45954</v>
      </c>
      <c r="E36" s="21">
        <v>46055</v>
      </c>
      <c r="F36" s="20">
        <f t="shared" si="2"/>
        <v>101</v>
      </c>
      <c r="G36" s="20">
        <v>2026</v>
      </c>
      <c r="H36" s="20" t="str">
        <f t="shared" si="1"/>
        <v>Q1 2026</v>
      </c>
      <c r="I36" s="20">
        <v>2</v>
      </c>
    </row>
    <row r="37" spans="1:9" ht="15" customHeight="1" x14ac:dyDescent="0.25">
      <c r="A37" s="22">
        <v>2411052747</v>
      </c>
      <c r="B37" s="22" t="s">
        <v>80</v>
      </c>
      <c r="C37" s="22" t="s">
        <v>14</v>
      </c>
      <c r="D37" s="50">
        <v>45939</v>
      </c>
      <c r="E37" s="23">
        <v>46036</v>
      </c>
      <c r="F37" s="22">
        <f t="shared" si="2"/>
        <v>97</v>
      </c>
      <c r="G37" s="22">
        <v>2026</v>
      </c>
      <c r="H37" s="22" t="str">
        <f t="shared" si="1"/>
        <v>Q1 2026</v>
      </c>
      <c r="I37" s="22">
        <v>1</v>
      </c>
    </row>
    <row r="38" spans="1:9" ht="15" customHeight="1" x14ac:dyDescent="0.25">
      <c r="A38" s="20">
        <v>2403052558</v>
      </c>
      <c r="B38" s="20" t="s">
        <v>81</v>
      </c>
      <c r="C38" s="20" t="s">
        <v>16</v>
      </c>
      <c r="D38" s="49">
        <v>45941</v>
      </c>
      <c r="E38" s="21">
        <v>46010</v>
      </c>
      <c r="F38" s="20">
        <f t="shared" si="2"/>
        <v>69</v>
      </c>
      <c r="G38" s="20">
        <v>2025</v>
      </c>
      <c r="H38" s="20" t="str">
        <f t="shared" si="1"/>
        <v>Q1 2026</v>
      </c>
      <c r="I38" s="20">
        <v>12</v>
      </c>
    </row>
    <row r="39" spans="1:9" ht="15" customHeight="1" x14ac:dyDescent="0.25">
      <c r="A39" s="22">
        <v>2503052859</v>
      </c>
      <c r="B39" s="22" t="s">
        <v>82</v>
      </c>
      <c r="C39" s="22" t="s">
        <v>16</v>
      </c>
      <c r="D39" s="50">
        <v>45966</v>
      </c>
      <c r="E39" s="23">
        <v>46010</v>
      </c>
      <c r="F39" s="22">
        <f t="shared" si="2"/>
        <v>44</v>
      </c>
      <c r="G39" s="22">
        <v>2025</v>
      </c>
      <c r="H39" s="22" t="str">
        <f t="shared" si="1"/>
        <v>Q1 2026</v>
      </c>
      <c r="I39" s="22">
        <v>12</v>
      </c>
    </row>
    <row r="40" spans="1:9" ht="15" customHeight="1" x14ac:dyDescent="0.25">
      <c r="A40" s="20">
        <v>2306052317</v>
      </c>
      <c r="B40" s="20" t="s">
        <v>83</v>
      </c>
      <c r="C40" s="20" t="s">
        <v>15</v>
      </c>
      <c r="D40" s="49">
        <v>45931</v>
      </c>
      <c r="E40" s="21">
        <v>46009</v>
      </c>
      <c r="F40" s="20">
        <f t="shared" si="2"/>
        <v>78</v>
      </c>
      <c r="G40" s="20">
        <v>2025</v>
      </c>
      <c r="H40" s="20" t="str">
        <f t="shared" si="1"/>
        <v>Q1 2026</v>
      </c>
      <c r="I40" s="20">
        <v>12</v>
      </c>
    </row>
    <row r="41" spans="1:9" ht="15" customHeight="1" x14ac:dyDescent="0.25">
      <c r="A41" s="22">
        <v>2503052860</v>
      </c>
      <c r="B41" s="22" t="s">
        <v>84</v>
      </c>
      <c r="C41" s="22" t="s">
        <v>16</v>
      </c>
      <c r="D41" s="50">
        <v>45981</v>
      </c>
      <c r="E41" s="23">
        <v>46007</v>
      </c>
      <c r="F41" s="22">
        <f t="shared" si="2"/>
        <v>26</v>
      </c>
      <c r="G41" s="22">
        <v>2025</v>
      </c>
      <c r="H41" s="22" t="str">
        <f t="shared" si="1"/>
        <v>Q1 2026</v>
      </c>
      <c r="I41" s="22">
        <v>12</v>
      </c>
    </row>
    <row r="42" spans="1:9" ht="15" customHeight="1" x14ac:dyDescent="0.25">
      <c r="A42" s="20">
        <v>2405052645</v>
      </c>
      <c r="B42" s="20" t="s">
        <v>85</v>
      </c>
      <c r="C42" s="20" t="s">
        <v>15</v>
      </c>
      <c r="D42" s="49">
        <v>45841</v>
      </c>
      <c r="E42" s="21">
        <v>46006</v>
      </c>
      <c r="F42" s="20">
        <f t="shared" si="2"/>
        <v>165</v>
      </c>
      <c r="G42" s="20">
        <v>2025</v>
      </c>
      <c r="H42" s="20" t="str">
        <f t="shared" si="1"/>
        <v>Q1 2026</v>
      </c>
      <c r="I42" s="20">
        <v>12</v>
      </c>
    </row>
    <row r="43" spans="1:9" ht="15" customHeight="1" x14ac:dyDescent="0.25">
      <c r="A43" s="22">
        <v>2312052475</v>
      </c>
      <c r="B43" s="22" t="s">
        <v>86</v>
      </c>
      <c r="C43" s="22" t="s">
        <v>15</v>
      </c>
      <c r="D43" s="50">
        <v>45986</v>
      </c>
      <c r="E43" s="23">
        <v>46006</v>
      </c>
      <c r="F43" s="22">
        <f t="shared" si="2"/>
        <v>20</v>
      </c>
      <c r="G43" s="22">
        <v>2025</v>
      </c>
      <c r="H43" s="22" t="str">
        <f t="shared" si="1"/>
        <v>Q2 2026</v>
      </c>
      <c r="I43" s="22">
        <v>12</v>
      </c>
    </row>
    <row r="44" spans="1:9" ht="15" customHeight="1" x14ac:dyDescent="0.25">
      <c r="A44" s="20">
        <v>2311052453</v>
      </c>
      <c r="B44" s="20" t="s">
        <v>87</v>
      </c>
      <c r="C44" s="20" t="s">
        <v>15</v>
      </c>
      <c r="D44" s="49">
        <v>45915</v>
      </c>
      <c r="E44" s="21">
        <v>46002</v>
      </c>
      <c r="F44" s="20">
        <f t="shared" si="2"/>
        <v>87</v>
      </c>
      <c r="G44" s="20">
        <v>2025</v>
      </c>
      <c r="H44" s="20" t="str">
        <f t="shared" si="1"/>
        <v>Q2 2026</v>
      </c>
      <c r="I44" s="20">
        <v>12</v>
      </c>
    </row>
    <row r="45" spans="1:9" ht="15" customHeight="1" x14ac:dyDescent="0.25">
      <c r="A45" s="22">
        <v>2306052316</v>
      </c>
      <c r="B45" s="22" t="s">
        <v>88</v>
      </c>
      <c r="C45" s="22" t="s">
        <v>15</v>
      </c>
      <c r="D45" s="50">
        <v>45925</v>
      </c>
      <c r="E45" s="23">
        <v>46001</v>
      </c>
      <c r="F45" s="22">
        <f t="shared" si="2"/>
        <v>76</v>
      </c>
      <c r="G45" s="22">
        <v>2025</v>
      </c>
      <c r="H45" s="22" t="str">
        <f t="shared" si="1"/>
        <v>Q2 2026</v>
      </c>
      <c r="I45" s="22">
        <v>12</v>
      </c>
    </row>
    <row r="46" spans="1:9" ht="15" customHeight="1" x14ac:dyDescent="0.25">
      <c r="A46" s="20">
        <v>2407052674</v>
      </c>
      <c r="B46" s="20" t="s">
        <v>89</v>
      </c>
      <c r="C46" s="20" t="s">
        <v>14</v>
      </c>
      <c r="D46" s="49">
        <v>45930</v>
      </c>
      <c r="E46" s="21">
        <v>45995</v>
      </c>
      <c r="F46" s="20">
        <f t="shared" si="2"/>
        <v>65</v>
      </c>
      <c r="G46" s="20">
        <v>2025</v>
      </c>
      <c r="H46" s="20" t="str">
        <f t="shared" si="1"/>
        <v>Q1 2026</v>
      </c>
      <c r="I46" s="20">
        <v>12</v>
      </c>
    </row>
    <row r="47" spans="1:9" ht="15" customHeight="1" x14ac:dyDescent="0.25">
      <c r="A47" s="22">
        <v>2402052516</v>
      </c>
      <c r="B47" s="22" t="s">
        <v>90</v>
      </c>
      <c r="C47" s="22" t="s">
        <v>15</v>
      </c>
      <c r="D47" s="50">
        <v>45968</v>
      </c>
      <c r="E47" s="23">
        <v>45992</v>
      </c>
      <c r="F47" s="22">
        <f t="shared" si="2"/>
        <v>24</v>
      </c>
      <c r="G47" s="22">
        <v>2025</v>
      </c>
      <c r="H47" s="22" t="str">
        <f t="shared" si="1"/>
        <v>Q1 2026</v>
      </c>
      <c r="I47" s="22">
        <v>12</v>
      </c>
    </row>
    <row r="48" spans="1:9" ht="15" customHeight="1" x14ac:dyDescent="0.25">
      <c r="A48" s="20">
        <v>2412052785</v>
      </c>
      <c r="B48" s="20" t="s">
        <v>91</v>
      </c>
      <c r="C48" s="20" t="s">
        <v>16</v>
      </c>
      <c r="D48" s="49">
        <v>45834</v>
      </c>
      <c r="E48" s="21">
        <v>45989</v>
      </c>
      <c r="F48" s="20">
        <f t="shared" si="2"/>
        <v>155</v>
      </c>
      <c r="G48" s="20">
        <v>2025</v>
      </c>
      <c r="H48" s="20" t="str">
        <f t="shared" si="1"/>
        <v>Q1 2026</v>
      </c>
      <c r="I48" s="20">
        <v>11</v>
      </c>
    </row>
    <row r="49" spans="1:9" ht="15" customHeight="1" x14ac:dyDescent="0.25">
      <c r="A49" s="22">
        <v>2504052891</v>
      </c>
      <c r="B49" s="22" t="s">
        <v>92</v>
      </c>
      <c r="C49" s="22" t="s">
        <v>14</v>
      </c>
      <c r="D49" s="50">
        <v>45937</v>
      </c>
      <c r="E49" s="23">
        <v>45987</v>
      </c>
      <c r="F49" s="22">
        <f t="shared" si="2"/>
        <v>50</v>
      </c>
      <c r="G49" s="22">
        <v>2025</v>
      </c>
      <c r="H49" s="22" t="str">
        <f t="shared" si="1"/>
        <v>Q1 2026</v>
      </c>
      <c r="I49" s="22">
        <v>11</v>
      </c>
    </row>
    <row r="50" spans="1:9" ht="15" customHeight="1" x14ac:dyDescent="0.25">
      <c r="A50" s="20">
        <v>2502052824</v>
      </c>
      <c r="B50" s="20" t="s">
        <v>93</v>
      </c>
      <c r="C50" s="20" t="s">
        <v>16</v>
      </c>
      <c r="D50" s="49">
        <v>45916</v>
      </c>
      <c r="E50" s="21">
        <v>45987</v>
      </c>
      <c r="F50" s="20">
        <f t="shared" si="2"/>
        <v>71</v>
      </c>
      <c r="G50" s="20">
        <v>2025</v>
      </c>
      <c r="H50" s="20" t="str">
        <f t="shared" si="1"/>
        <v>Q1 2026</v>
      </c>
      <c r="I50" s="20">
        <v>11</v>
      </c>
    </row>
    <row r="51" spans="1:9" ht="15" customHeight="1" x14ac:dyDescent="0.25">
      <c r="A51" s="22">
        <v>2502052824</v>
      </c>
      <c r="B51" s="22" t="s">
        <v>94</v>
      </c>
      <c r="C51" s="22" t="s">
        <v>16</v>
      </c>
      <c r="D51" s="50">
        <v>45916</v>
      </c>
      <c r="E51" s="23">
        <v>45987</v>
      </c>
      <c r="F51" s="22">
        <f t="shared" si="2"/>
        <v>71</v>
      </c>
      <c r="G51" s="22">
        <v>2025</v>
      </c>
      <c r="H51" s="22" t="str">
        <f t="shared" si="1"/>
        <v>Q1 2026</v>
      </c>
      <c r="I51" s="22">
        <v>11</v>
      </c>
    </row>
    <row r="52" spans="1:9" ht="15" customHeight="1" x14ac:dyDescent="0.25">
      <c r="A52" s="20">
        <v>2502052835</v>
      </c>
      <c r="B52" s="20" t="s">
        <v>95</v>
      </c>
      <c r="C52" s="20" t="s">
        <v>18</v>
      </c>
      <c r="D52" s="49">
        <v>45876</v>
      </c>
      <c r="E52" s="21">
        <v>45987</v>
      </c>
      <c r="F52" s="20">
        <f t="shared" si="2"/>
        <v>111</v>
      </c>
      <c r="G52" s="20">
        <v>2025</v>
      </c>
      <c r="H52" s="20" t="str">
        <f t="shared" si="1"/>
        <v>Q1 2026</v>
      </c>
      <c r="I52" s="20">
        <v>11</v>
      </c>
    </row>
    <row r="53" spans="1:9" ht="15" customHeight="1" x14ac:dyDescent="0.25">
      <c r="A53" s="22">
        <v>2405052629</v>
      </c>
      <c r="B53" s="22" t="s">
        <v>96</v>
      </c>
      <c r="C53" s="22" t="s">
        <v>15</v>
      </c>
      <c r="D53" s="50">
        <v>45721</v>
      </c>
      <c r="E53" s="23">
        <v>45987</v>
      </c>
      <c r="F53" s="22">
        <f t="shared" si="2"/>
        <v>266</v>
      </c>
      <c r="G53" s="22">
        <v>2025</v>
      </c>
      <c r="H53" s="22" t="str">
        <f t="shared" si="1"/>
        <v>Q1 2026</v>
      </c>
      <c r="I53" s="22">
        <v>11</v>
      </c>
    </row>
    <row r="54" spans="1:9" ht="15" customHeight="1" x14ac:dyDescent="0.25">
      <c r="A54" s="20">
        <v>2409052714</v>
      </c>
      <c r="B54" s="20" t="s">
        <v>97</v>
      </c>
      <c r="C54" s="20" t="s">
        <v>16</v>
      </c>
      <c r="D54" s="49">
        <v>45947</v>
      </c>
      <c r="E54" s="21">
        <v>45986</v>
      </c>
      <c r="F54" s="20">
        <f t="shared" si="2"/>
        <v>39</v>
      </c>
      <c r="G54" s="20">
        <v>2025</v>
      </c>
      <c r="H54" s="20" t="str">
        <f t="shared" si="1"/>
        <v>Q1 2026</v>
      </c>
      <c r="I54" s="20">
        <v>11</v>
      </c>
    </row>
    <row r="55" spans="1:9" ht="15" customHeight="1" x14ac:dyDescent="0.25">
      <c r="A55" s="22">
        <v>2403052574</v>
      </c>
      <c r="B55" s="22" t="s">
        <v>98</v>
      </c>
      <c r="C55" s="22" t="s">
        <v>16</v>
      </c>
      <c r="D55" s="50">
        <v>45841</v>
      </c>
      <c r="E55" s="23">
        <v>45986</v>
      </c>
      <c r="F55" s="22">
        <f t="shared" si="2"/>
        <v>145</v>
      </c>
      <c r="G55" s="22">
        <v>2025</v>
      </c>
      <c r="H55" s="22" t="str">
        <f t="shared" si="1"/>
        <v>Q1 2026</v>
      </c>
      <c r="I55" s="22">
        <v>11</v>
      </c>
    </row>
    <row r="56" spans="1:9" ht="15" customHeight="1" x14ac:dyDescent="0.25">
      <c r="A56" s="20">
        <v>2410052740</v>
      </c>
      <c r="B56" s="20" t="s">
        <v>99</v>
      </c>
      <c r="C56" s="20" t="s">
        <v>14</v>
      </c>
      <c r="D56" s="49">
        <v>45947</v>
      </c>
      <c r="E56" s="21">
        <v>45986</v>
      </c>
      <c r="F56" s="20">
        <f t="shared" si="2"/>
        <v>39</v>
      </c>
      <c r="G56" s="20">
        <v>2025</v>
      </c>
      <c r="H56" s="20" t="str">
        <f t="shared" ref="H56:H86" si="3">"Q"&amp;INT((MONTH(E34)-1)/3)+1&amp;" "&amp;YEAR(E34)</f>
        <v>Q1 2026</v>
      </c>
      <c r="I56" s="20">
        <v>11</v>
      </c>
    </row>
    <row r="57" spans="1:9" ht="15" customHeight="1" x14ac:dyDescent="0.25">
      <c r="A57" s="22">
        <v>2503052864</v>
      </c>
      <c r="B57" s="22" t="s">
        <v>100</v>
      </c>
      <c r="C57" s="22" t="s">
        <v>16</v>
      </c>
      <c r="D57" s="50">
        <v>45940</v>
      </c>
      <c r="E57" s="23">
        <v>45985</v>
      </c>
      <c r="F57" s="22">
        <f t="shared" si="2"/>
        <v>45</v>
      </c>
      <c r="G57" s="22">
        <v>2025</v>
      </c>
      <c r="H57" s="22" t="str">
        <f t="shared" si="3"/>
        <v>Q1 2026</v>
      </c>
      <c r="I57" s="22">
        <v>11</v>
      </c>
    </row>
    <row r="58" spans="1:9" ht="15" customHeight="1" x14ac:dyDescent="0.25">
      <c r="A58" s="20">
        <v>2403052563</v>
      </c>
      <c r="B58" s="20" t="s">
        <v>101</v>
      </c>
      <c r="C58" s="20" t="s">
        <v>16</v>
      </c>
      <c r="D58" s="49">
        <v>45804</v>
      </c>
      <c r="E58" s="21">
        <v>45985</v>
      </c>
      <c r="F58" s="20">
        <f t="shared" si="2"/>
        <v>181</v>
      </c>
      <c r="G58" s="20">
        <v>2025</v>
      </c>
      <c r="H58" s="20" t="str">
        <f t="shared" si="3"/>
        <v>Q1 2026</v>
      </c>
      <c r="I58" s="20">
        <v>11</v>
      </c>
    </row>
    <row r="59" spans="1:9" ht="15" customHeight="1" x14ac:dyDescent="0.25">
      <c r="A59" s="22">
        <v>2505052917</v>
      </c>
      <c r="B59" s="22" t="s">
        <v>102</v>
      </c>
      <c r="C59" s="22" t="s">
        <v>16</v>
      </c>
      <c r="D59" s="50">
        <v>45954</v>
      </c>
      <c r="E59" s="23">
        <v>45980</v>
      </c>
      <c r="F59" s="22">
        <f t="shared" si="2"/>
        <v>26</v>
      </c>
      <c r="G59" s="22">
        <v>2025</v>
      </c>
      <c r="H59" s="22" t="str">
        <f t="shared" si="3"/>
        <v>Q1 2026</v>
      </c>
      <c r="I59" s="22">
        <v>11</v>
      </c>
    </row>
    <row r="60" spans="1:9" ht="15" customHeight="1" x14ac:dyDescent="0.25">
      <c r="A60" s="20">
        <v>2306052342</v>
      </c>
      <c r="B60" s="20" t="s">
        <v>103</v>
      </c>
      <c r="C60" s="20" t="s">
        <v>14</v>
      </c>
      <c r="D60" s="49">
        <v>45930</v>
      </c>
      <c r="E60" s="21">
        <v>45979</v>
      </c>
      <c r="F60" s="20">
        <f t="shared" si="2"/>
        <v>49</v>
      </c>
      <c r="G60" s="20">
        <v>2025</v>
      </c>
      <c r="H60" s="20" t="str">
        <f t="shared" si="3"/>
        <v>Q4 2025</v>
      </c>
      <c r="I60" s="20">
        <v>11</v>
      </c>
    </row>
    <row r="61" spans="1:9" ht="15" customHeight="1" x14ac:dyDescent="0.25">
      <c r="A61" s="22">
        <v>2501052796</v>
      </c>
      <c r="B61" s="22" t="s">
        <v>104</v>
      </c>
      <c r="C61" s="22" t="s">
        <v>15</v>
      </c>
      <c r="D61" s="50">
        <v>45936</v>
      </c>
      <c r="E61" s="23">
        <v>45979</v>
      </c>
      <c r="F61" s="22">
        <f t="shared" si="2"/>
        <v>43</v>
      </c>
      <c r="G61" s="22">
        <v>2025</v>
      </c>
      <c r="H61" s="22" t="str">
        <f t="shared" si="3"/>
        <v>Q4 2025</v>
      </c>
      <c r="I61" s="22">
        <v>11</v>
      </c>
    </row>
    <row r="62" spans="1:9" ht="15" customHeight="1" x14ac:dyDescent="0.25">
      <c r="A62" s="20">
        <v>2309052404</v>
      </c>
      <c r="B62" s="20" t="s">
        <v>105</v>
      </c>
      <c r="C62" s="20" t="s">
        <v>15</v>
      </c>
      <c r="D62" s="49">
        <v>45733</v>
      </c>
      <c r="E62" s="21">
        <v>45979</v>
      </c>
      <c r="F62" s="20">
        <f t="shared" si="2"/>
        <v>246</v>
      </c>
      <c r="G62" s="20">
        <v>2025</v>
      </c>
      <c r="H62" s="20" t="str">
        <f t="shared" si="3"/>
        <v>Q4 2025</v>
      </c>
      <c r="I62" s="20">
        <v>11</v>
      </c>
    </row>
    <row r="63" spans="1:9" ht="15" customHeight="1" x14ac:dyDescent="0.25">
      <c r="A63" s="22">
        <v>2404052595</v>
      </c>
      <c r="B63" s="22" t="s">
        <v>106</v>
      </c>
      <c r="C63" s="22" t="s">
        <v>107</v>
      </c>
      <c r="D63" s="50">
        <v>45839</v>
      </c>
      <c r="E63" s="23">
        <v>45978</v>
      </c>
      <c r="F63" s="22">
        <f t="shared" si="2"/>
        <v>139</v>
      </c>
      <c r="G63" s="22">
        <v>2025</v>
      </c>
      <c r="H63" s="22" t="str">
        <f t="shared" si="3"/>
        <v>Q4 2025</v>
      </c>
      <c r="I63" s="22">
        <v>11</v>
      </c>
    </row>
    <row r="64" spans="1:9" ht="15" customHeight="1" x14ac:dyDescent="0.25">
      <c r="A64" s="20">
        <v>2212052166</v>
      </c>
      <c r="B64" s="20" t="s">
        <v>108</v>
      </c>
      <c r="C64" s="20" t="s">
        <v>15</v>
      </c>
      <c r="D64" s="49">
        <v>45803</v>
      </c>
      <c r="E64" s="21">
        <v>45975</v>
      </c>
      <c r="F64" s="20">
        <f t="shared" si="2"/>
        <v>172</v>
      </c>
      <c r="G64" s="20">
        <v>2025</v>
      </c>
      <c r="H64" s="20" t="str">
        <f t="shared" si="3"/>
        <v>Q4 2025</v>
      </c>
      <c r="I64" s="20">
        <v>11</v>
      </c>
    </row>
    <row r="65" spans="1:9" ht="15" customHeight="1" x14ac:dyDescent="0.25">
      <c r="A65" s="22">
        <v>2401052487</v>
      </c>
      <c r="B65" s="22" t="s">
        <v>109</v>
      </c>
      <c r="C65" s="22" t="s">
        <v>15</v>
      </c>
      <c r="D65" s="50">
        <v>45859</v>
      </c>
      <c r="E65" s="23">
        <v>45972</v>
      </c>
      <c r="F65" s="22">
        <f t="shared" si="2"/>
        <v>113</v>
      </c>
      <c r="G65" s="22">
        <v>2025</v>
      </c>
      <c r="H65" s="22" t="str">
        <f t="shared" si="3"/>
        <v>Q4 2025</v>
      </c>
      <c r="I65" s="22">
        <v>11</v>
      </c>
    </row>
    <row r="66" spans="1:9" ht="15" customHeight="1" x14ac:dyDescent="0.25">
      <c r="A66" s="20">
        <v>2309052414</v>
      </c>
      <c r="B66" s="20" t="s">
        <v>110</v>
      </c>
      <c r="C66" s="20" t="s">
        <v>17</v>
      </c>
      <c r="D66" s="49">
        <v>45863</v>
      </c>
      <c r="E66" s="21">
        <v>45972</v>
      </c>
      <c r="F66" s="20">
        <f t="shared" ref="F66:F97" si="4">E66-D66</f>
        <v>109</v>
      </c>
      <c r="G66" s="20">
        <v>2025</v>
      </c>
      <c r="H66" s="20" t="str">
        <f t="shared" si="3"/>
        <v>Q4 2025</v>
      </c>
      <c r="I66" s="20">
        <v>11</v>
      </c>
    </row>
    <row r="67" spans="1:9" ht="15" customHeight="1" x14ac:dyDescent="0.25">
      <c r="A67" s="22">
        <v>2305052294</v>
      </c>
      <c r="B67" s="22" t="s">
        <v>111</v>
      </c>
      <c r="C67" s="22" t="s">
        <v>15</v>
      </c>
      <c r="D67" s="50">
        <v>45919</v>
      </c>
      <c r="E67" s="23">
        <v>45968</v>
      </c>
      <c r="F67" s="22">
        <f t="shared" si="4"/>
        <v>49</v>
      </c>
      <c r="G67" s="22">
        <v>2025</v>
      </c>
      <c r="H67" s="22" t="str">
        <f t="shared" si="3"/>
        <v>Q4 2025</v>
      </c>
      <c r="I67" s="22">
        <v>11</v>
      </c>
    </row>
    <row r="68" spans="1:9" ht="15" customHeight="1" x14ac:dyDescent="0.25">
      <c r="A68" s="20">
        <v>2405052644</v>
      </c>
      <c r="B68" s="20" t="s">
        <v>112</v>
      </c>
      <c r="C68" s="20" t="s">
        <v>15</v>
      </c>
      <c r="D68" s="49">
        <v>45887</v>
      </c>
      <c r="E68" s="21">
        <v>45965</v>
      </c>
      <c r="F68" s="20">
        <f t="shared" si="4"/>
        <v>78</v>
      </c>
      <c r="G68" s="20">
        <v>2025</v>
      </c>
      <c r="H68" s="20" t="str">
        <f t="shared" si="3"/>
        <v>Q4 2025</v>
      </c>
      <c r="I68" s="20">
        <v>11</v>
      </c>
    </row>
    <row r="69" spans="1:9" ht="15" customHeight="1" x14ac:dyDescent="0.25">
      <c r="A69" s="22">
        <v>2502052828</v>
      </c>
      <c r="B69" s="22" t="s">
        <v>113</v>
      </c>
      <c r="C69" s="22" t="s">
        <v>17</v>
      </c>
      <c r="D69" s="50">
        <v>45912</v>
      </c>
      <c r="E69" s="23">
        <v>45964</v>
      </c>
      <c r="F69" s="22">
        <f t="shared" si="4"/>
        <v>52</v>
      </c>
      <c r="G69" s="22">
        <v>2025</v>
      </c>
      <c r="H69" s="22" t="str">
        <f t="shared" si="3"/>
        <v>Q4 2025</v>
      </c>
      <c r="I69" s="22">
        <v>11</v>
      </c>
    </row>
    <row r="70" spans="1:9" ht="15" customHeight="1" x14ac:dyDescent="0.25">
      <c r="A70" s="20">
        <v>2412052780</v>
      </c>
      <c r="B70" s="20" t="s">
        <v>114</v>
      </c>
      <c r="C70" s="20" t="s">
        <v>17</v>
      </c>
      <c r="D70" s="49">
        <v>45882</v>
      </c>
      <c r="E70" s="21">
        <v>45960</v>
      </c>
      <c r="F70" s="20">
        <f t="shared" si="4"/>
        <v>78</v>
      </c>
      <c r="G70" s="20">
        <v>2025</v>
      </c>
      <c r="H70" s="20" t="str">
        <f t="shared" si="3"/>
        <v>Q4 2025</v>
      </c>
      <c r="I70" s="20">
        <v>10</v>
      </c>
    </row>
    <row r="71" spans="1:9" ht="15" customHeight="1" x14ac:dyDescent="0.25">
      <c r="A71" s="22">
        <v>2502052830</v>
      </c>
      <c r="B71" s="22" t="s">
        <v>115</v>
      </c>
      <c r="C71" s="22" t="s">
        <v>17</v>
      </c>
      <c r="D71" s="50">
        <v>45833</v>
      </c>
      <c r="E71" s="23">
        <v>45959</v>
      </c>
      <c r="F71" s="22">
        <f t="shared" si="4"/>
        <v>126</v>
      </c>
      <c r="G71" s="22">
        <v>2025</v>
      </c>
      <c r="H71" s="22" t="str">
        <f t="shared" si="3"/>
        <v>Q4 2025</v>
      </c>
      <c r="I71" s="22">
        <v>10</v>
      </c>
    </row>
    <row r="72" spans="1:9" ht="15" customHeight="1" x14ac:dyDescent="0.25">
      <c r="A72" s="20">
        <v>2404052626</v>
      </c>
      <c r="B72" s="20" t="s">
        <v>116</v>
      </c>
      <c r="C72" s="20" t="s">
        <v>15</v>
      </c>
      <c r="D72" s="49">
        <v>45898</v>
      </c>
      <c r="E72" s="21">
        <v>45959</v>
      </c>
      <c r="F72" s="20">
        <f t="shared" si="4"/>
        <v>61</v>
      </c>
      <c r="G72" s="20">
        <v>2025</v>
      </c>
      <c r="H72" s="20" t="str">
        <f t="shared" si="3"/>
        <v>Q4 2025</v>
      </c>
      <c r="I72" s="20">
        <v>10</v>
      </c>
    </row>
    <row r="73" spans="1:9" ht="15" customHeight="1" x14ac:dyDescent="0.25">
      <c r="A73" s="22">
        <v>2402052548</v>
      </c>
      <c r="B73" s="22" t="s">
        <v>117</v>
      </c>
      <c r="C73" s="22" t="s">
        <v>16</v>
      </c>
      <c r="D73" s="50">
        <v>45902</v>
      </c>
      <c r="E73" s="23">
        <v>45959</v>
      </c>
      <c r="F73" s="22">
        <f t="shared" si="4"/>
        <v>57</v>
      </c>
      <c r="G73" s="22">
        <v>2025</v>
      </c>
      <c r="H73" s="22" t="str">
        <f t="shared" si="3"/>
        <v>Q4 2025</v>
      </c>
      <c r="I73" s="22">
        <v>10</v>
      </c>
    </row>
    <row r="74" spans="1:9" ht="15" customHeight="1" x14ac:dyDescent="0.25">
      <c r="A74" s="20">
        <v>2411052762</v>
      </c>
      <c r="B74" s="20" t="s">
        <v>118</v>
      </c>
      <c r="C74" s="20" t="s">
        <v>18</v>
      </c>
      <c r="D74" s="49">
        <v>45882</v>
      </c>
      <c r="E74" s="21">
        <v>45954</v>
      </c>
      <c r="F74" s="20">
        <f t="shared" si="4"/>
        <v>72</v>
      </c>
      <c r="G74" s="20">
        <v>2025</v>
      </c>
      <c r="H74" s="20" t="str">
        <f t="shared" si="3"/>
        <v>Q4 2025</v>
      </c>
      <c r="I74" s="20">
        <v>10</v>
      </c>
    </row>
    <row r="75" spans="1:9" ht="15" customHeight="1" x14ac:dyDescent="0.25">
      <c r="A75" s="22">
        <v>2402052533</v>
      </c>
      <c r="B75" s="22" t="s">
        <v>119</v>
      </c>
      <c r="C75" s="22" t="s">
        <v>14</v>
      </c>
      <c r="D75" s="50">
        <v>45868</v>
      </c>
      <c r="E75" s="23">
        <v>45953</v>
      </c>
      <c r="F75" s="22">
        <f t="shared" si="4"/>
        <v>85</v>
      </c>
      <c r="G75" s="22">
        <v>2025</v>
      </c>
      <c r="H75" s="22" t="str">
        <f t="shared" si="3"/>
        <v>Q4 2025</v>
      </c>
      <c r="I75" s="22">
        <v>10</v>
      </c>
    </row>
    <row r="76" spans="1:9" ht="15" customHeight="1" x14ac:dyDescent="0.25">
      <c r="A76" s="20">
        <v>2402052547</v>
      </c>
      <c r="B76" s="20" t="s">
        <v>120</v>
      </c>
      <c r="C76" s="20" t="s">
        <v>19</v>
      </c>
      <c r="D76" s="49">
        <v>45896</v>
      </c>
      <c r="E76" s="21">
        <v>45952</v>
      </c>
      <c r="F76" s="20">
        <f t="shared" si="4"/>
        <v>56</v>
      </c>
      <c r="G76" s="20">
        <v>2025</v>
      </c>
      <c r="H76" s="20" t="str">
        <f t="shared" si="3"/>
        <v>Q4 2025</v>
      </c>
      <c r="I76" s="20">
        <v>10</v>
      </c>
    </row>
    <row r="77" spans="1:9" ht="15" customHeight="1" x14ac:dyDescent="0.25">
      <c r="A77" s="22">
        <v>2402052545</v>
      </c>
      <c r="B77" s="22" t="s">
        <v>121</v>
      </c>
      <c r="C77" s="22" t="s">
        <v>16</v>
      </c>
      <c r="D77" s="50">
        <v>45846</v>
      </c>
      <c r="E77" s="23">
        <v>45952</v>
      </c>
      <c r="F77" s="22">
        <f t="shared" si="4"/>
        <v>106</v>
      </c>
      <c r="G77" s="22">
        <v>2025</v>
      </c>
      <c r="H77" s="22" t="str">
        <f t="shared" si="3"/>
        <v>Q4 2025</v>
      </c>
      <c r="I77" s="22">
        <v>10</v>
      </c>
    </row>
    <row r="78" spans="1:9" ht="15" customHeight="1" x14ac:dyDescent="0.25">
      <c r="A78" s="20">
        <v>2407052673</v>
      </c>
      <c r="B78" s="20" t="s">
        <v>122</v>
      </c>
      <c r="C78" s="20" t="s">
        <v>17</v>
      </c>
      <c r="D78" s="49">
        <v>45819</v>
      </c>
      <c r="E78" s="21">
        <v>45952</v>
      </c>
      <c r="F78" s="20">
        <f t="shared" si="4"/>
        <v>133</v>
      </c>
      <c r="G78" s="20">
        <v>2025</v>
      </c>
      <c r="H78" s="20" t="str">
        <f t="shared" si="3"/>
        <v>Q4 2025</v>
      </c>
      <c r="I78" s="20">
        <v>10</v>
      </c>
    </row>
    <row r="79" spans="1:9" ht="15" customHeight="1" x14ac:dyDescent="0.25">
      <c r="A79" s="22">
        <v>2411052754</v>
      </c>
      <c r="B79" s="22" t="s">
        <v>123</v>
      </c>
      <c r="C79" s="22" t="s">
        <v>17</v>
      </c>
      <c r="D79" s="50">
        <v>45790</v>
      </c>
      <c r="E79" s="23">
        <v>45952</v>
      </c>
      <c r="F79" s="22">
        <f t="shared" si="4"/>
        <v>162</v>
      </c>
      <c r="G79" s="22">
        <v>2025</v>
      </c>
      <c r="H79" s="22" t="str">
        <f t="shared" si="3"/>
        <v>Q4 2025</v>
      </c>
      <c r="I79" s="22">
        <v>10</v>
      </c>
    </row>
    <row r="80" spans="1:9" ht="15" customHeight="1" x14ac:dyDescent="0.25">
      <c r="A80" s="20">
        <v>2405052643</v>
      </c>
      <c r="B80" s="20" t="s">
        <v>124</v>
      </c>
      <c r="C80" s="20" t="s">
        <v>15</v>
      </c>
      <c r="D80" s="49">
        <v>45903</v>
      </c>
      <c r="E80" s="21">
        <v>45950</v>
      </c>
      <c r="F80" s="20">
        <f t="shared" si="4"/>
        <v>47</v>
      </c>
      <c r="G80" s="20">
        <v>2025</v>
      </c>
      <c r="H80" s="20" t="str">
        <f t="shared" si="3"/>
        <v>Q4 2025</v>
      </c>
      <c r="I80" s="20">
        <v>10</v>
      </c>
    </row>
    <row r="81" spans="1:9" ht="15" customHeight="1" x14ac:dyDescent="0.25">
      <c r="A81" s="22">
        <v>2404052607</v>
      </c>
      <c r="B81" s="22" t="s">
        <v>125</v>
      </c>
      <c r="C81" s="22" t="s">
        <v>16</v>
      </c>
      <c r="D81" s="50">
        <v>45868</v>
      </c>
      <c r="E81" s="23">
        <v>45950</v>
      </c>
      <c r="F81" s="22">
        <f t="shared" si="4"/>
        <v>82</v>
      </c>
      <c r="G81" s="22">
        <v>2025</v>
      </c>
      <c r="H81" s="22" t="str">
        <f t="shared" si="3"/>
        <v>Q4 2025</v>
      </c>
      <c r="I81" s="22">
        <v>10</v>
      </c>
    </row>
    <row r="82" spans="1:9" ht="15" customHeight="1" x14ac:dyDescent="0.25">
      <c r="A82" s="20">
        <v>2408052697</v>
      </c>
      <c r="B82" s="20" t="s">
        <v>126</v>
      </c>
      <c r="C82" s="20" t="s">
        <v>17</v>
      </c>
      <c r="D82" s="49">
        <v>45786</v>
      </c>
      <c r="E82" s="21">
        <v>45946</v>
      </c>
      <c r="F82" s="20">
        <f t="shared" si="4"/>
        <v>160</v>
      </c>
      <c r="G82" s="20">
        <v>2025</v>
      </c>
      <c r="H82" s="20" t="str">
        <f t="shared" si="3"/>
        <v>Q4 2025</v>
      </c>
      <c r="I82" s="20">
        <v>10</v>
      </c>
    </row>
    <row r="83" spans="1:9" ht="15" customHeight="1" x14ac:dyDescent="0.25">
      <c r="A83" s="22">
        <v>2302052228</v>
      </c>
      <c r="B83" s="22" t="s">
        <v>127</v>
      </c>
      <c r="C83" s="22" t="s">
        <v>14</v>
      </c>
      <c r="D83" s="50">
        <v>45910</v>
      </c>
      <c r="E83" s="23">
        <v>45944</v>
      </c>
      <c r="F83" s="22">
        <f t="shared" si="4"/>
        <v>34</v>
      </c>
      <c r="G83" s="22">
        <v>2025</v>
      </c>
      <c r="H83" s="22" t="str">
        <f t="shared" si="3"/>
        <v>Q4 2025</v>
      </c>
      <c r="I83" s="22">
        <v>10</v>
      </c>
    </row>
    <row r="84" spans="1:9" ht="15" customHeight="1" x14ac:dyDescent="0.25">
      <c r="A84" s="20">
        <v>2501052790</v>
      </c>
      <c r="B84" s="20" t="s">
        <v>128</v>
      </c>
      <c r="C84" s="20" t="s">
        <v>14</v>
      </c>
      <c r="D84" s="49">
        <v>45882</v>
      </c>
      <c r="E84" s="21">
        <v>45942</v>
      </c>
      <c r="F84" s="20">
        <f t="shared" si="4"/>
        <v>60</v>
      </c>
      <c r="G84" s="20">
        <v>2025</v>
      </c>
      <c r="H84" s="20" t="str">
        <f t="shared" si="3"/>
        <v>Q4 2025</v>
      </c>
      <c r="I84" s="20">
        <v>10</v>
      </c>
    </row>
    <row r="85" spans="1:9" ht="15" customHeight="1" x14ac:dyDescent="0.25">
      <c r="A85" s="22">
        <v>2311052469</v>
      </c>
      <c r="B85" s="22" t="s">
        <v>129</v>
      </c>
      <c r="C85" s="22" t="s">
        <v>15</v>
      </c>
      <c r="D85" s="50">
        <v>45712</v>
      </c>
      <c r="E85" s="23">
        <v>45940</v>
      </c>
      <c r="F85" s="22">
        <f t="shared" si="4"/>
        <v>228</v>
      </c>
      <c r="G85" s="22">
        <v>2025</v>
      </c>
      <c r="H85" s="22" t="str">
        <f t="shared" si="3"/>
        <v>Q4 2025</v>
      </c>
      <c r="I85" s="22">
        <v>10</v>
      </c>
    </row>
    <row r="86" spans="1:9" ht="15" customHeight="1" x14ac:dyDescent="0.25">
      <c r="A86" s="20">
        <v>2402052503</v>
      </c>
      <c r="B86" s="20" t="s">
        <v>130</v>
      </c>
      <c r="C86" s="20" t="s">
        <v>16</v>
      </c>
      <c r="D86" s="49">
        <v>45818</v>
      </c>
      <c r="E86" s="21">
        <v>45940</v>
      </c>
      <c r="F86" s="20">
        <f t="shared" si="4"/>
        <v>122</v>
      </c>
      <c r="G86" s="20">
        <v>2025</v>
      </c>
      <c r="H86" s="20" t="str">
        <f t="shared" si="3"/>
        <v>Q4 2025</v>
      </c>
      <c r="I86" s="20">
        <v>10</v>
      </c>
    </row>
    <row r="87" spans="1:9" ht="15" customHeight="1" x14ac:dyDescent="0.25">
      <c r="A87" s="22">
        <v>2404052592</v>
      </c>
      <c r="B87" s="22" t="s">
        <v>131</v>
      </c>
      <c r="C87" s="22" t="s">
        <v>14</v>
      </c>
      <c r="D87" s="50">
        <v>45940</v>
      </c>
      <c r="E87" s="24">
        <v>46092</v>
      </c>
      <c r="F87" s="22">
        <f t="shared" si="4"/>
        <v>152</v>
      </c>
      <c r="G87" s="22">
        <v>2026</v>
      </c>
      <c r="H87" s="22" t="s">
        <v>43</v>
      </c>
      <c r="I87" s="22">
        <v>3</v>
      </c>
    </row>
    <row r="88" spans="1:9" ht="15" customHeight="1" x14ac:dyDescent="0.25">
      <c r="A88" s="20">
        <v>2502052827</v>
      </c>
      <c r="B88" s="20" t="s">
        <v>132</v>
      </c>
      <c r="C88" s="20" t="s">
        <v>17</v>
      </c>
      <c r="D88" s="49">
        <v>45797</v>
      </c>
      <c r="E88" s="21">
        <v>45940</v>
      </c>
      <c r="F88" s="20">
        <f t="shared" si="4"/>
        <v>143</v>
      </c>
      <c r="G88" s="20">
        <v>2025</v>
      </c>
      <c r="H88" s="20" t="str">
        <f t="shared" ref="H88:H119" si="5">"Q"&amp;INT((MONTH(E66)-1)/3)+1&amp;" "&amp;YEAR(E66)</f>
        <v>Q4 2025</v>
      </c>
      <c r="I88" s="20">
        <v>10</v>
      </c>
    </row>
    <row r="89" spans="1:9" ht="15" customHeight="1" x14ac:dyDescent="0.25">
      <c r="A89" s="22">
        <v>2309052386</v>
      </c>
      <c r="B89" s="22" t="s">
        <v>133</v>
      </c>
      <c r="C89" s="22" t="s">
        <v>14</v>
      </c>
      <c r="D89" s="50">
        <v>45924</v>
      </c>
      <c r="E89" s="23">
        <v>45939</v>
      </c>
      <c r="F89" s="22">
        <f t="shared" si="4"/>
        <v>15</v>
      </c>
      <c r="G89" s="22">
        <v>2025</v>
      </c>
      <c r="H89" s="22" t="str">
        <f t="shared" si="5"/>
        <v>Q4 2025</v>
      </c>
      <c r="I89" s="22">
        <v>10</v>
      </c>
    </row>
    <row r="90" spans="1:9" ht="15" customHeight="1" x14ac:dyDescent="0.25">
      <c r="A90" s="20">
        <v>2402052538</v>
      </c>
      <c r="B90" s="20" t="s">
        <v>134</v>
      </c>
      <c r="C90" s="20" t="s">
        <v>14</v>
      </c>
      <c r="D90" s="49">
        <v>45883</v>
      </c>
      <c r="E90" s="21">
        <v>45939</v>
      </c>
      <c r="F90" s="20">
        <f t="shared" si="4"/>
        <v>56</v>
      </c>
      <c r="G90" s="20">
        <v>2025</v>
      </c>
      <c r="H90" s="20" t="str">
        <f t="shared" si="5"/>
        <v>Q4 2025</v>
      </c>
      <c r="I90" s="20">
        <v>10</v>
      </c>
    </row>
    <row r="91" spans="1:9" ht="15" customHeight="1" x14ac:dyDescent="0.25">
      <c r="A91" s="22">
        <v>2211052114</v>
      </c>
      <c r="B91" s="22" t="s">
        <v>135</v>
      </c>
      <c r="C91" s="22" t="s">
        <v>15</v>
      </c>
      <c r="D91" s="50">
        <v>45910</v>
      </c>
      <c r="E91" s="23">
        <v>45932</v>
      </c>
      <c r="F91" s="22">
        <f t="shared" si="4"/>
        <v>22</v>
      </c>
      <c r="G91" s="22">
        <v>2025</v>
      </c>
      <c r="H91" s="22" t="str">
        <f t="shared" si="5"/>
        <v>Q4 2025</v>
      </c>
      <c r="I91" s="22">
        <v>10</v>
      </c>
    </row>
    <row r="92" spans="1:9" ht="15" customHeight="1" x14ac:dyDescent="0.25">
      <c r="A92" s="20">
        <v>2502052809</v>
      </c>
      <c r="B92" s="20" t="s">
        <v>136</v>
      </c>
      <c r="C92" s="20" t="s">
        <v>14</v>
      </c>
      <c r="D92" s="49">
        <v>45891</v>
      </c>
      <c r="E92" s="21">
        <v>45931</v>
      </c>
      <c r="F92" s="20">
        <f t="shared" si="4"/>
        <v>40</v>
      </c>
      <c r="G92" s="20">
        <v>2025</v>
      </c>
      <c r="H92" s="20" t="str">
        <f t="shared" si="5"/>
        <v>Q4 2025</v>
      </c>
      <c r="I92" s="20">
        <v>10</v>
      </c>
    </row>
    <row r="93" spans="1:9" ht="15" customHeight="1" x14ac:dyDescent="0.25">
      <c r="A93" s="22">
        <v>2405052638</v>
      </c>
      <c r="B93" s="22" t="s">
        <v>137</v>
      </c>
      <c r="C93" s="22" t="s">
        <v>14</v>
      </c>
      <c r="D93" s="50">
        <v>45873</v>
      </c>
      <c r="E93" s="23">
        <v>45931</v>
      </c>
      <c r="F93" s="22">
        <f t="shared" si="4"/>
        <v>58</v>
      </c>
      <c r="G93" s="22">
        <v>2025</v>
      </c>
      <c r="H93" s="22" t="str">
        <f t="shared" si="5"/>
        <v>Q4 2025</v>
      </c>
      <c r="I93" s="22">
        <v>10</v>
      </c>
    </row>
    <row r="94" spans="1:9" ht="15" customHeight="1" x14ac:dyDescent="0.25">
      <c r="A94" s="20">
        <v>2404052621</v>
      </c>
      <c r="B94" s="20" t="s">
        <v>138</v>
      </c>
      <c r="C94" s="20" t="s">
        <v>16</v>
      </c>
      <c r="D94" s="49">
        <v>45888</v>
      </c>
      <c r="E94" s="21">
        <v>45930</v>
      </c>
      <c r="F94" s="20">
        <f t="shared" si="4"/>
        <v>42</v>
      </c>
      <c r="G94" s="20">
        <v>2025</v>
      </c>
      <c r="H94" s="20" t="str">
        <f t="shared" si="5"/>
        <v>Q4 2025</v>
      </c>
      <c r="I94" s="20">
        <v>9</v>
      </c>
    </row>
    <row r="95" spans="1:9" ht="15" customHeight="1" x14ac:dyDescent="0.25">
      <c r="A95" s="22">
        <v>2502052832</v>
      </c>
      <c r="B95" s="22" t="s">
        <v>139</v>
      </c>
      <c r="C95" s="22" t="s">
        <v>14</v>
      </c>
      <c r="D95" s="50">
        <v>45888</v>
      </c>
      <c r="E95" s="23">
        <v>45929</v>
      </c>
      <c r="F95" s="22">
        <f t="shared" si="4"/>
        <v>41</v>
      </c>
      <c r="G95" s="22">
        <v>2025</v>
      </c>
      <c r="H95" s="22" t="str">
        <f t="shared" si="5"/>
        <v>Q4 2025</v>
      </c>
      <c r="I95" s="22">
        <v>9</v>
      </c>
    </row>
    <row r="96" spans="1:9" ht="15" customHeight="1" x14ac:dyDescent="0.25">
      <c r="A96" s="20">
        <v>2408052695</v>
      </c>
      <c r="B96" s="20" t="s">
        <v>140</v>
      </c>
      <c r="C96" s="20" t="s">
        <v>16</v>
      </c>
      <c r="D96" s="49">
        <v>45813</v>
      </c>
      <c r="E96" s="21">
        <v>45924</v>
      </c>
      <c r="F96" s="20">
        <f t="shared" si="4"/>
        <v>111</v>
      </c>
      <c r="G96" s="20">
        <v>2025</v>
      </c>
      <c r="H96" s="20" t="str">
        <f t="shared" si="5"/>
        <v>Q4 2025</v>
      </c>
      <c r="I96" s="20">
        <v>9</v>
      </c>
    </row>
    <row r="97" spans="1:9" ht="15" customHeight="1" x14ac:dyDescent="0.25">
      <c r="A97" s="22">
        <v>1912051517</v>
      </c>
      <c r="B97" s="22" t="s">
        <v>141</v>
      </c>
      <c r="C97" s="22" t="s">
        <v>15</v>
      </c>
      <c r="D97" s="50">
        <v>45742</v>
      </c>
      <c r="E97" s="23">
        <v>45923</v>
      </c>
      <c r="F97" s="22">
        <f t="shared" si="4"/>
        <v>181</v>
      </c>
      <c r="G97" s="22">
        <v>2025</v>
      </c>
      <c r="H97" s="22" t="str">
        <f t="shared" si="5"/>
        <v>Q4 2025</v>
      </c>
      <c r="I97" s="22">
        <v>9</v>
      </c>
    </row>
    <row r="98" spans="1:9" ht="15" customHeight="1" x14ac:dyDescent="0.25">
      <c r="A98" s="20">
        <v>2501052801</v>
      </c>
      <c r="B98" s="20" t="s">
        <v>142</v>
      </c>
      <c r="C98" s="20" t="s">
        <v>14</v>
      </c>
      <c r="D98" s="49">
        <v>45790</v>
      </c>
      <c r="E98" s="21">
        <v>45921</v>
      </c>
      <c r="F98" s="20">
        <f t="shared" ref="F98:F129" si="6">E98-D98</f>
        <v>131</v>
      </c>
      <c r="G98" s="20">
        <v>2025</v>
      </c>
      <c r="H98" s="20" t="str">
        <f t="shared" si="5"/>
        <v>Q4 2025</v>
      </c>
      <c r="I98" s="20">
        <v>9</v>
      </c>
    </row>
    <row r="99" spans="1:9" ht="15" customHeight="1" x14ac:dyDescent="0.25">
      <c r="A99" s="22">
        <v>2403052567</v>
      </c>
      <c r="B99" s="22" t="s">
        <v>143</v>
      </c>
      <c r="C99" s="22" t="s">
        <v>16</v>
      </c>
      <c r="D99" s="50">
        <v>45842</v>
      </c>
      <c r="E99" s="23">
        <v>45919</v>
      </c>
      <c r="F99" s="22">
        <f t="shared" si="6"/>
        <v>77</v>
      </c>
      <c r="G99" s="22">
        <v>2025</v>
      </c>
      <c r="H99" s="22" t="str">
        <f t="shared" si="5"/>
        <v>Q4 2025</v>
      </c>
      <c r="I99" s="22">
        <v>9</v>
      </c>
    </row>
    <row r="100" spans="1:9" ht="15" customHeight="1" x14ac:dyDescent="0.25">
      <c r="A100" s="20">
        <v>2503052840</v>
      </c>
      <c r="B100" s="20" t="s">
        <v>144</v>
      </c>
      <c r="C100" s="20" t="s">
        <v>14</v>
      </c>
      <c r="D100" s="49">
        <v>45868</v>
      </c>
      <c r="E100" s="21">
        <v>45918</v>
      </c>
      <c r="F100" s="20">
        <f t="shared" si="6"/>
        <v>50</v>
      </c>
      <c r="G100" s="20">
        <v>2025</v>
      </c>
      <c r="H100" s="20" t="str">
        <f t="shared" si="5"/>
        <v>Q4 2025</v>
      </c>
      <c r="I100" s="20">
        <v>9</v>
      </c>
    </row>
    <row r="101" spans="1:9" ht="15" customHeight="1" x14ac:dyDescent="0.25">
      <c r="A101" s="22">
        <v>2308052381</v>
      </c>
      <c r="B101" s="22" t="s">
        <v>145</v>
      </c>
      <c r="C101" s="22" t="s">
        <v>15</v>
      </c>
      <c r="D101" s="50">
        <v>45757</v>
      </c>
      <c r="E101" s="23">
        <v>45918</v>
      </c>
      <c r="F101" s="22">
        <f t="shared" si="6"/>
        <v>161</v>
      </c>
      <c r="G101" s="22">
        <v>2025</v>
      </c>
      <c r="H101" s="22" t="str">
        <f t="shared" si="5"/>
        <v>Q4 2025</v>
      </c>
      <c r="I101" s="22">
        <v>9</v>
      </c>
    </row>
    <row r="102" spans="1:9" ht="15" customHeight="1" x14ac:dyDescent="0.25">
      <c r="A102" s="20">
        <v>2406052662</v>
      </c>
      <c r="B102" s="20" t="s">
        <v>146</v>
      </c>
      <c r="C102" s="20" t="s">
        <v>15</v>
      </c>
      <c r="D102" s="49">
        <v>45784</v>
      </c>
      <c r="E102" s="21">
        <v>45911</v>
      </c>
      <c r="F102" s="20">
        <f t="shared" si="6"/>
        <v>127</v>
      </c>
      <c r="G102" s="20">
        <v>2025</v>
      </c>
      <c r="H102" s="20" t="str">
        <f t="shared" si="5"/>
        <v>Q4 2025</v>
      </c>
      <c r="I102" s="20">
        <v>9</v>
      </c>
    </row>
    <row r="103" spans="1:9" ht="15" customHeight="1" x14ac:dyDescent="0.25">
      <c r="A103" s="22">
        <v>2402052531</v>
      </c>
      <c r="B103" s="22" t="s">
        <v>147</v>
      </c>
      <c r="C103" s="22" t="s">
        <v>16</v>
      </c>
      <c r="D103" s="50">
        <v>45776</v>
      </c>
      <c r="E103" s="23">
        <v>45910</v>
      </c>
      <c r="F103" s="22">
        <f t="shared" si="6"/>
        <v>134</v>
      </c>
      <c r="G103" s="22">
        <v>2025</v>
      </c>
      <c r="H103" s="22" t="str">
        <f t="shared" si="5"/>
        <v>Q4 2025</v>
      </c>
      <c r="I103" s="22">
        <v>9</v>
      </c>
    </row>
    <row r="104" spans="1:9" ht="15" customHeight="1" x14ac:dyDescent="0.25">
      <c r="A104" s="20">
        <v>2407052685</v>
      </c>
      <c r="B104" s="20" t="s">
        <v>148</v>
      </c>
      <c r="C104" s="20" t="s">
        <v>15</v>
      </c>
      <c r="D104" s="49">
        <v>45790</v>
      </c>
      <c r="E104" s="21">
        <v>45910</v>
      </c>
      <c r="F104" s="20">
        <f t="shared" si="6"/>
        <v>120</v>
      </c>
      <c r="G104" s="20">
        <v>2025</v>
      </c>
      <c r="H104" s="20" t="str">
        <f t="shared" si="5"/>
        <v>Q4 2025</v>
      </c>
      <c r="I104" s="20">
        <v>9</v>
      </c>
    </row>
    <row r="105" spans="1:9" ht="15" customHeight="1" x14ac:dyDescent="0.25">
      <c r="A105" s="22">
        <v>2403052573</v>
      </c>
      <c r="B105" s="22" t="s">
        <v>149</v>
      </c>
      <c r="C105" s="22" t="s">
        <v>15</v>
      </c>
      <c r="D105" s="50">
        <v>45861</v>
      </c>
      <c r="E105" s="23">
        <v>45910</v>
      </c>
      <c r="F105" s="22">
        <f t="shared" si="6"/>
        <v>49</v>
      </c>
      <c r="G105" s="22">
        <v>2025</v>
      </c>
      <c r="H105" s="22" t="str">
        <f t="shared" si="5"/>
        <v>Q4 2025</v>
      </c>
      <c r="I105" s="22">
        <v>9</v>
      </c>
    </row>
    <row r="106" spans="1:9" ht="15" customHeight="1" x14ac:dyDescent="0.25">
      <c r="A106" s="20">
        <v>2404052623</v>
      </c>
      <c r="B106" s="20" t="s">
        <v>150</v>
      </c>
      <c r="C106" s="20" t="s">
        <v>16</v>
      </c>
      <c r="D106" s="49">
        <v>45793</v>
      </c>
      <c r="E106" s="21">
        <v>45909</v>
      </c>
      <c r="F106" s="20">
        <f t="shared" si="6"/>
        <v>116</v>
      </c>
      <c r="G106" s="20">
        <v>2025</v>
      </c>
      <c r="H106" s="20" t="str">
        <f t="shared" si="5"/>
        <v>Q4 2025</v>
      </c>
      <c r="I106" s="20">
        <v>9</v>
      </c>
    </row>
    <row r="107" spans="1:9" ht="15" customHeight="1" x14ac:dyDescent="0.25">
      <c r="A107" s="22">
        <v>2308052374</v>
      </c>
      <c r="B107" s="22" t="s">
        <v>151</v>
      </c>
      <c r="C107" s="22" t="s">
        <v>15</v>
      </c>
      <c r="D107" s="50">
        <v>45742</v>
      </c>
      <c r="E107" s="23">
        <v>45909</v>
      </c>
      <c r="F107" s="22">
        <f t="shared" si="6"/>
        <v>167</v>
      </c>
      <c r="G107" s="22">
        <v>2025</v>
      </c>
      <c r="H107" s="22" t="str">
        <f t="shared" si="5"/>
        <v>Q4 2025</v>
      </c>
      <c r="I107" s="22">
        <v>9</v>
      </c>
    </row>
    <row r="108" spans="1:9" ht="15" customHeight="1" x14ac:dyDescent="0.25">
      <c r="A108" s="20">
        <v>2410052728</v>
      </c>
      <c r="B108" s="20" t="s">
        <v>152</v>
      </c>
      <c r="C108" s="20" t="s">
        <v>14</v>
      </c>
      <c r="D108" s="49">
        <v>45838</v>
      </c>
      <c r="E108" s="21">
        <v>45908</v>
      </c>
      <c r="F108" s="20">
        <f t="shared" si="6"/>
        <v>70</v>
      </c>
      <c r="G108" s="20">
        <v>2025</v>
      </c>
      <c r="H108" s="20" t="str">
        <f t="shared" si="5"/>
        <v>Q4 2025</v>
      </c>
      <c r="I108" s="20">
        <v>9</v>
      </c>
    </row>
    <row r="109" spans="1:9" ht="15" customHeight="1" x14ac:dyDescent="0.25">
      <c r="A109" s="22">
        <v>2309052388</v>
      </c>
      <c r="B109" s="22" t="s">
        <v>153</v>
      </c>
      <c r="C109" s="22" t="s">
        <v>17</v>
      </c>
      <c r="D109" s="50">
        <v>45688</v>
      </c>
      <c r="E109" s="23">
        <v>45904</v>
      </c>
      <c r="F109" s="22">
        <f t="shared" si="6"/>
        <v>216</v>
      </c>
      <c r="G109" s="22">
        <v>2025</v>
      </c>
      <c r="H109" s="22" t="str">
        <f t="shared" si="5"/>
        <v>Q1 2026</v>
      </c>
      <c r="I109" s="22">
        <v>9</v>
      </c>
    </row>
    <row r="110" spans="1:9" ht="15" customHeight="1" x14ac:dyDescent="0.25">
      <c r="A110" s="20">
        <v>2402052494</v>
      </c>
      <c r="B110" s="20" t="s">
        <v>154</v>
      </c>
      <c r="C110" s="20" t="s">
        <v>14</v>
      </c>
      <c r="D110" s="49">
        <v>45832</v>
      </c>
      <c r="E110" s="21">
        <v>45904</v>
      </c>
      <c r="F110" s="20">
        <f t="shared" si="6"/>
        <v>72</v>
      </c>
      <c r="G110" s="20">
        <v>2025</v>
      </c>
      <c r="H110" s="20" t="str">
        <f t="shared" si="5"/>
        <v>Q4 2025</v>
      </c>
      <c r="I110" s="20">
        <v>9</v>
      </c>
    </row>
    <row r="111" spans="1:9" ht="15" customHeight="1" x14ac:dyDescent="0.25">
      <c r="A111" s="22">
        <v>2403052566</v>
      </c>
      <c r="B111" s="22" t="s">
        <v>155</v>
      </c>
      <c r="C111" s="22" t="s">
        <v>16</v>
      </c>
      <c r="D111" s="50">
        <v>45819</v>
      </c>
      <c r="E111" s="23">
        <v>45903</v>
      </c>
      <c r="F111" s="22">
        <f t="shared" si="6"/>
        <v>84</v>
      </c>
      <c r="G111" s="22">
        <v>2025</v>
      </c>
      <c r="H111" s="22" t="str">
        <f t="shared" si="5"/>
        <v>Q4 2025</v>
      </c>
      <c r="I111" s="22">
        <v>9</v>
      </c>
    </row>
    <row r="112" spans="1:9" ht="15" customHeight="1" x14ac:dyDescent="0.25">
      <c r="A112" s="20">
        <v>2401052486</v>
      </c>
      <c r="B112" s="20" t="s">
        <v>156</v>
      </c>
      <c r="C112" s="20" t="s">
        <v>14</v>
      </c>
      <c r="D112" s="49">
        <v>45800</v>
      </c>
      <c r="E112" s="21">
        <v>45897</v>
      </c>
      <c r="F112" s="20">
        <f t="shared" si="6"/>
        <v>97</v>
      </c>
      <c r="G112" s="20">
        <v>2025</v>
      </c>
      <c r="H112" s="20" t="str">
        <f t="shared" si="5"/>
        <v>Q4 2025</v>
      </c>
      <c r="I112" s="20">
        <v>8</v>
      </c>
    </row>
    <row r="113" spans="1:9" ht="15" customHeight="1" x14ac:dyDescent="0.25">
      <c r="A113" s="22">
        <v>2408052704</v>
      </c>
      <c r="B113" s="22" t="s">
        <v>108</v>
      </c>
      <c r="C113" s="22" t="s">
        <v>15</v>
      </c>
      <c r="D113" s="50">
        <v>45818</v>
      </c>
      <c r="E113" s="23">
        <v>45897</v>
      </c>
      <c r="F113" s="22">
        <f t="shared" si="6"/>
        <v>79</v>
      </c>
      <c r="G113" s="22">
        <v>2025</v>
      </c>
      <c r="H113" s="22" t="str">
        <f t="shared" si="5"/>
        <v>Q4 2025</v>
      </c>
      <c r="I113" s="22">
        <v>8</v>
      </c>
    </row>
    <row r="114" spans="1:9" ht="15" customHeight="1" x14ac:dyDescent="0.25">
      <c r="A114" s="20">
        <v>2501052793</v>
      </c>
      <c r="B114" s="20" t="s">
        <v>157</v>
      </c>
      <c r="C114" s="20" t="s">
        <v>19</v>
      </c>
      <c r="D114" s="49">
        <v>45843</v>
      </c>
      <c r="E114" s="21">
        <v>45896</v>
      </c>
      <c r="F114" s="20">
        <f t="shared" si="6"/>
        <v>53</v>
      </c>
      <c r="G114" s="20">
        <v>2025</v>
      </c>
      <c r="H114" s="20" t="str">
        <f t="shared" si="5"/>
        <v>Q4 2025</v>
      </c>
      <c r="I114" s="20">
        <v>8</v>
      </c>
    </row>
    <row r="115" spans="1:9" ht="15" customHeight="1" x14ac:dyDescent="0.25">
      <c r="A115" s="22">
        <v>2406052650</v>
      </c>
      <c r="B115" s="22" t="s">
        <v>158</v>
      </c>
      <c r="C115" s="22" t="s">
        <v>14</v>
      </c>
      <c r="D115" s="50">
        <v>45818</v>
      </c>
      <c r="E115" s="23">
        <v>45890</v>
      </c>
      <c r="F115" s="22">
        <f t="shared" si="6"/>
        <v>72</v>
      </c>
      <c r="G115" s="22">
        <v>2025</v>
      </c>
      <c r="H115" s="22" t="str">
        <f t="shared" si="5"/>
        <v>Q4 2025</v>
      </c>
      <c r="I115" s="22">
        <v>8</v>
      </c>
    </row>
    <row r="116" spans="1:9" ht="15" customHeight="1" x14ac:dyDescent="0.25">
      <c r="A116" s="20">
        <v>2402052508</v>
      </c>
      <c r="B116" s="20" t="s">
        <v>159</v>
      </c>
      <c r="C116" s="20" t="s">
        <v>14</v>
      </c>
      <c r="D116" s="49">
        <v>45786</v>
      </c>
      <c r="E116" s="21">
        <v>45890</v>
      </c>
      <c r="F116" s="20">
        <f t="shared" si="6"/>
        <v>104</v>
      </c>
      <c r="G116" s="20">
        <v>2025</v>
      </c>
      <c r="H116" s="20" t="str">
        <f t="shared" si="5"/>
        <v>Q3 2025</v>
      </c>
      <c r="I116" s="20">
        <v>8</v>
      </c>
    </row>
    <row r="117" spans="1:9" ht="15" customHeight="1" x14ac:dyDescent="0.25">
      <c r="A117" s="22">
        <v>2410052739</v>
      </c>
      <c r="B117" s="22" t="s">
        <v>160</v>
      </c>
      <c r="C117" s="22" t="s">
        <v>14</v>
      </c>
      <c r="D117" s="50">
        <v>45826</v>
      </c>
      <c r="E117" s="23">
        <v>45889</v>
      </c>
      <c r="F117" s="22">
        <f t="shared" si="6"/>
        <v>63</v>
      </c>
      <c r="G117" s="22">
        <v>2025</v>
      </c>
      <c r="H117" s="22" t="str">
        <f t="shared" si="5"/>
        <v>Q3 2025</v>
      </c>
      <c r="I117" s="22">
        <v>8</v>
      </c>
    </row>
    <row r="118" spans="1:9" ht="15" customHeight="1" x14ac:dyDescent="0.25">
      <c r="A118" s="20">
        <v>2402052492</v>
      </c>
      <c r="B118" s="20" t="s">
        <v>161</v>
      </c>
      <c r="C118" s="20" t="s">
        <v>14</v>
      </c>
      <c r="D118" s="49">
        <v>45818</v>
      </c>
      <c r="E118" s="21">
        <v>45869</v>
      </c>
      <c r="F118" s="20">
        <f t="shared" si="6"/>
        <v>51</v>
      </c>
      <c r="G118" s="20">
        <v>2025</v>
      </c>
      <c r="H118" s="20" t="str">
        <f t="shared" si="5"/>
        <v>Q3 2025</v>
      </c>
      <c r="I118" s="20">
        <v>7</v>
      </c>
    </row>
    <row r="119" spans="1:9" ht="15" customHeight="1" x14ac:dyDescent="0.25">
      <c r="A119" s="22">
        <v>2112051885</v>
      </c>
      <c r="B119" s="22" t="s">
        <v>162</v>
      </c>
      <c r="C119" s="22" t="s">
        <v>15</v>
      </c>
      <c r="D119" s="50">
        <v>45789</v>
      </c>
      <c r="E119" s="23">
        <v>45869</v>
      </c>
      <c r="F119" s="22">
        <f t="shared" si="6"/>
        <v>80</v>
      </c>
      <c r="G119" s="22">
        <v>2025</v>
      </c>
      <c r="H119" s="22" t="str">
        <f t="shared" si="5"/>
        <v>Q3 2025</v>
      </c>
      <c r="I119" s="22">
        <v>7</v>
      </c>
    </row>
    <row r="120" spans="1:9" ht="15" customHeight="1" x14ac:dyDescent="0.25">
      <c r="A120" s="20">
        <v>2404052605</v>
      </c>
      <c r="B120" s="20" t="s">
        <v>163</v>
      </c>
      <c r="C120" s="20" t="s">
        <v>16</v>
      </c>
      <c r="D120" s="49">
        <v>45757</v>
      </c>
      <c r="E120" s="21">
        <v>45864</v>
      </c>
      <c r="F120" s="20">
        <f t="shared" si="6"/>
        <v>107</v>
      </c>
      <c r="G120" s="20">
        <v>2025</v>
      </c>
      <c r="H120" s="20" t="str">
        <f t="shared" ref="H120:H151" si="7">"Q"&amp;INT((MONTH(E98)-1)/3)+1&amp;" "&amp;YEAR(E98)</f>
        <v>Q3 2025</v>
      </c>
      <c r="I120" s="20">
        <v>7</v>
      </c>
    </row>
    <row r="121" spans="1:9" ht="15" customHeight="1" x14ac:dyDescent="0.25">
      <c r="A121" s="22">
        <v>2308052372</v>
      </c>
      <c r="B121" s="22" t="s">
        <v>164</v>
      </c>
      <c r="C121" s="22" t="s">
        <v>14</v>
      </c>
      <c r="D121" s="50">
        <v>45776</v>
      </c>
      <c r="E121" s="23">
        <v>45862</v>
      </c>
      <c r="F121" s="22">
        <f t="shared" si="6"/>
        <v>86</v>
      </c>
      <c r="G121" s="22">
        <v>2025</v>
      </c>
      <c r="H121" s="22" t="str">
        <f t="shared" si="7"/>
        <v>Q3 2025</v>
      </c>
      <c r="I121" s="22">
        <v>7</v>
      </c>
    </row>
    <row r="122" spans="1:9" ht="15" customHeight="1" x14ac:dyDescent="0.25">
      <c r="A122" s="20">
        <v>2410052721</v>
      </c>
      <c r="B122" s="20" t="s">
        <v>165</v>
      </c>
      <c r="C122" s="20" t="s">
        <v>14</v>
      </c>
      <c r="D122" s="49">
        <v>45797</v>
      </c>
      <c r="E122" s="21">
        <v>45856</v>
      </c>
      <c r="F122" s="20">
        <f t="shared" si="6"/>
        <v>59</v>
      </c>
      <c r="G122" s="20">
        <v>2025</v>
      </c>
      <c r="H122" s="20" t="str">
        <f t="shared" si="7"/>
        <v>Q3 2025</v>
      </c>
      <c r="I122" s="20">
        <v>7</v>
      </c>
    </row>
    <row r="123" spans="1:9" ht="15" customHeight="1" x14ac:dyDescent="0.25">
      <c r="A123" s="22">
        <v>2411052752</v>
      </c>
      <c r="B123" s="22" t="s">
        <v>166</v>
      </c>
      <c r="C123" s="22" t="s">
        <v>14</v>
      </c>
      <c r="D123" s="50">
        <v>45755</v>
      </c>
      <c r="E123" s="23">
        <v>45852</v>
      </c>
      <c r="F123" s="22">
        <f t="shared" si="6"/>
        <v>97</v>
      </c>
      <c r="G123" s="22">
        <v>2025</v>
      </c>
      <c r="H123" s="22" t="str">
        <f t="shared" si="7"/>
        <v>Q3 2025</v>
      </c>
      <c r="I123" s="22">
        <v>7</v>
      </c>
    </row>
    <row r="124" spans="1:9" ht="15" customHeight="1" x14ac:dyDescent="0.25">
      <c r="A124" s="20">
        <v>2404052591</v>
      </c>
      <c r="B124" s="20" t="s">
        <v>167</v>
      </c>
      <c r="C124" s="22" t="s">
        <v>17</v>
      </c>
      <c r="D124" s="49">
        <v>45750</v>
      </c>
      <c r="E124" s="21">
        <v>45848</v>
      </c>
      <c r="F124" s="20">
        <f t="shared" si="6"/>
        <v>98</v>
      </c>
      <c r="G124" s="20">
        <v>2025</v>
      </c>
      <c r="H124" s="20" t="str">
        <f t="shared" si="7"/>
        <v>Q3 2025</v>
      </c>
      <c r="I124" s="20">
        <v>7</v>
      </c>
    </row>
    <row r="125" spans="1:9" ht="15" customHeight="1" x14ac:dyDescent="0.25">
      <c r="A125" s="22">
        <v>2305052310</v>
      </c>
      <c r="B125" s="22" t="s">
        <v>168</v>
      </c>
      <c r="C125" s="22" t="s">
        <v>14</v>
      </c>
      <c r="D125" s="50">
        <v>45833</v>
      </c>
      <c r="E125" s="23">
        <v>45847</v>
      </c>
      <c r="F125" s="22">
        <f t="shared" si="6"/>
        <v>14</v>
      </c>
      <c r="G125" s="22">
        <v>2025</v>
      </c>
      <c r="H125" s="22" t="str">
        <f t="shared" si="7"/>
        <v>Q3 2025</v>
      </c>
      <c r="I125" s="22">
        <v>7</v>
      </c>
    </row>
    <row r="126" spans="1:9" ht="15" customHeight="1" x14ac:dyDescent="0.25">
      <c r="A126" s="20">
        <v>2411052756</v>
      </c>
      <c r="B126" s="20" t="s">
        <v>169</v>
      </c>
      <c r="C126" s="20" t="s">
        <v>14</v>
      </c>
      <c r="D126" s="49">
        <v>45797</v>
      </c>
      <c r="E126" s="21">
        <v>45840</v>
      </c>
      <c r="F126" s="20">
        <f t="shared" si="6"/>
        <v>43</v>
      </c>
      <c r="G126" s="20">
        <v>2025</v>
      </c>
      <c r="H126" s="20" t="str">
        <f t="shared" si="7"/>
        <v>Q3 2025</v>
      </c>
      <c r="I126" s="20">
        <v>7</v>
      </c>
    </row>
    <row r="127" spans="1:9" ht="15" customHeight="1" x14ac:dyDescent="0.25">
      <c r="A127" s="22">
        <v>2303052254</v>
      </c>
      <c r="B127" s="22" t="s">
        <v>170</v>
      </c>
      <c r="C127" s="22" t="s">
        <v>14</v>
      </c>
      <c r="D127" s="50">
        <v>45770</v>
      </c>
      <c r="E127" s="23">
        <v>45833</v>
      </c>
      <c r="F127" s="22">
        <f t="shared" si="6"/>
        <v>63</v>
      </c>
      <c r="G127" s="22">
        <v>2025</v>
      </c>
      <c r="H127" s="22" t="str">
        <f t="shared" si="7"/>
        <v>Q3 2025</v>
      </c>
      <c r="I127" s="22">
        <v>6</v>
      </c>
    </row>
    <row r="128" spans="1:9" ht="15" customHeight="1" x14ac:dyDescent="0.25">
      <c r="A128" s="20">
        <v>2308052382</v>
      </c>
      <c r="B128" s="20" t="s">
        <v>171</v>
      </c>
      <c r="C128" s="20" t="s">
        <v>15</v>
      </c>
      <c r="D128" s="49">
        <v>45686</v>
      </c>
      <c r="E128" s="21">
        <v>45825</v>
      </c>
      <c r="F128" s="20">
        <f t="shared" si="6"/>
        <v>139</v>
      </c>
      <c r="G128" s="20">
        <v>2025</v>
      </c>
      <c r="H128" s="20" t="str">
        <f t="shared" si="7"/>
        <v>Q3 2025</v>
      </c>
      <c r="I128" s="20">
        <v>6</v>
      </c>
    </row>
    <row r="129" spans="1:9" ht="15" customHeight="1" x14ac:dyDescent="0.25">
      <c r="A129" s="22">
        <v>2206051979</v>
      </c>
      <c r="B129" s="22" t="s">
        <v>172</v>
      </c>
      <c r="C129" s="22" t="s">
        <v>14</v>
      </c>
      <c r="D129" s="50">
        <v>45596</v>
      </c>
      <c r="E129" s="23">
        <v>45820</v>
      </c>
      <c r="F129" s="22">
        <f t="shared" si="6"/>
        <v>224</v>
      </c>
      <c r="G129" s="22">
        <v>2025</v>
      </c>
      <c r="H129" s="22" t="str">
        <f t="shared" si="7"/>
        <v>Q3 2025</v>
      </c>
      <c r="I129" s="22">
        <v>6</v>
      </c>
    </row>
    <row r="130" spans="1:9" ht="15" customHeight="1" x14ac:dyDescent="0.25">
      <c r="A130" s="20">
        <v>2404052616</v>
      </c>
      <c r="B130" s="20" t="s">
        <v>173</v>
      </c>
      <c r="C130" s="20" t="s">
        <v>14</v>
      </c>
      <c r="D130" s="49">
        <v>45790</v>
      </c>
      <c r="E130" s="21">
        <v>45820</v>
      </c>
      <c r="F130" s="20">
        <f t="shared" ref="F130:F161" si="8">E130-D130</f>
        <v>30</v>
      </c>
      <c r="G130" s="20">
        <v>2025</v>
      </c>
      <c r="H130" s="20" t="str">
        <f t="shared" si="7"/>
        <v>Q3 2025</v>
      </c>
      <c r="I130" s="20">
        <v>6</v>
      </c>
    </row>
    <row r="131" spans="1:9" ht="15" customHeight="1" x14ac:dyDescent="0.25">
      <c r="A131" s="22">
        <v>2402052529</v>
      </c>
      <c r="B131" s="22" t="s">
        <v>174</v>
      </c>
      <c r="C131" s="22" t="s">
        <v>17</v>
      </c>
      <c r="D131" s="50">
        <v>45797</v>
      </c>
      <c r="E131" s="23">
        <v>45813</v>
      </c>
      <c r="F131" s="22">
        <f t="shared" si="8"/>
        <v>16</v>
      </c>
      <c r="G131" s="22">
        <v>2025</v>
      </c>
      <c r="H131" s="22" t="str">
        <f t="shared" si="7"/>
        <v>Q3 2025</v>
      </c>
      <c r="I131" s="22">
        <v>6</v>
      </c>
    </row>
    <row r="132" spans="1:9" ht="15" customHeight="1" x14ac:dyDescent="0.25">
      <c r="A132" s="20">
        <v>2310052420</v>
      </c>
      <c r="B132" s="20" t="s">
        <v>175</v>
      </c>
      <c r="C132" s="20" t="s">
        <v>176</v>
      </c>
      <c r="D132" s="49">
        <v>45474</v>
      </c>
      <c r="E132" s="21">
        <v>45812</v>
      </c>
      <c r="F132" s="20">
        <f t="shared" si="8"/>
        <v>338</v>
      </c>
      <c r="G132" s="20">
        <v>2025</v>
      </c>
      <c r="H132" s="20" t="str">
        <f t="shared" si="7"/>
        <v>Q3 2025</v>
      </c>
      <c r="I132" s="20">
        <v>6</v>
      </c>
    </row>
    <row r="133" spans="1:9" ht="15" customHeight="1" x14ac:dyDescent="0.25">
      <c r="A133" s="22">
        <v>2409052713</v>
      </c>
      <c r="B133" s="22" t="s">
        <v>177</v>
      </c>
      <c r="C133" s="22" t="s">
        <v>14</v>
      </c>
      <c r="D133" s="50">
        <v>45721</v>
      </c>
      <c r="E133" s="23">
        <v>45807</v>
      </c>
      <c r="F133" s="22">
        <f t="shared" si="8"/>
        <v>86</v>
      </c>
      <c r="G133" s="22">
        <v>2025</v>
      </c>
      <c r="H133" s="22" t="str">
        <f t="shared" si="7"/>
        <v>Q3 2025</v>
      </c>
      <c r="I133" s="22">
        <v>5</v>
      </c>
    </row>
    <row r="134" spans="1:9" ht="15" customHeight="1" x14ac:dyDescent="0.25">
      <c r="A134" s="20">
        <v>2401052481</v>
      </c>
      <c r="B134" s="20" t="s">
        <v>178</v>
      </c>
      <c r="C134" s="20" t="s">
        <v>14</v>
      </c>
      <c r="D134" s="49">
        <v>45715</v>
      </c>
      <c r="E134" s="21">
        <v>45807</v>
      </c>
      <c r="F134" s="20">
        <f t="shared" si="8"/>
        <v>92</v>
      </c>
      <c r="G134" s="20">
        <v>2025</v>
      </c>
      <c r="H134" s="20" t="str">
        <f t="shared" si="7"/>
        <v>Q3 2025</v>
      </c>
      <c r="I134" s="20">
        <v>5</v>
      </c>
    </row>
    <row r="135" spans="1:9" ht="15" customHeight="1" x14ac:dyDescent="0.25">
      <c r="A135" s="22">
        <v>2311052444</v>
      </c>
      <c r="B135" s="22" t="s">
        <v>179</v>
      </c>
      <c r="C135" s="22" t="s">
        <v>14</v>
      </c>
      <c r="D135" s="50">
        <v>45600</v>
      </c>
      <c r="E135" s="23">
        <v>45803</v>
      </c>
      <c r="F135" s="22">
        <f t="shared" si="8"/>
        <v>203</v>
      </c>
      <c r="G135" s="22">
        <v>2025</v>
      </c>
      <c r="H135" s="22" t="str">
        <f t="shared" si="7"/>
        <v>Q3 2025</v>
      </c>
      <c r="I135" s="22">
        <v>5</v>
      </c>
    </row>
    <row r="136" spans="1:9" ht="15" customHeight="1" x14ac:dyDescent="0.25">
      <c r="A136" s="20">
        <v>2404052620</v>
      </c>
      <c r="B136" s="20" t="s">
        <v>180</v>
      </c>
      <c r="C136" s="20" t="s">
        <v>14</v>
      </c>
      <c r="D136" s="49">
        <v>45729</v>
      </c>
      <c r="E136" s="21">
        <v>45796</v>
      </c>
      <c r="F136" s="20">
        <f t="shared" si="8"/>
        <v>67</v>
      </c>
      <c r="G136" s="20">
        <v>2025</v>
      </c>
      <c r="H136" s="20" t="str">
        <f t="shared" si="7"/>
        <v>Q3 2025</v>
      </c>
      <c r="I136" s="20">
        <v>5</v>
      </c>
    </row>
    <row r="137" spans="1:9" ht="15" customHeight="1" x14ac:dyDescent="0.25">
      <c r="A137" s="22">
        <v>2406052647</v>
      </c>
      <c r="B137" s="22" t="s">
        <v>181</v>
      </c>
      <c r="C137" s="22" t="s">
        <v>17</v>
      </c>
      <c r="D137" s="50">
        <v>45763</v>
      </c>
      <c r="E137" s="23">
        <v>45796</v>
      </c>
      <c r="F137" s="22">
        <f t="shared" si="8"/>
        <v>33</v>
      </c>
      <c r="G137" s="22">
        <v>2025</v>
      </c>
      <c r="H137" s="22" t="str">
        <f t="shared" si="7"/>
        <v>Q3 2025</v>
      </c>
      <c r="I137" s="22">
        <v>5</v>
      </c>
    </row>
    <row r="138" spans="1:9" ht="15" customHeight="1" x14ac:dyDescent="0.25">
      <c r="A138" s="20">
        <v>2402052546</v>
      </c>
      <c r="B138" s="20" t="s">
        <v>182</v>
      </c>
      <c r="C138" s="20" t="s">
        <v>16</v>
      </c>
      <c r="D138" s="49">
        <v>45730</v>
      </c>
      <c r="E138" s="21">
        <v>45792</v>
      </c>
      <c r="F138" s="20">
        <f t="shared" si="8"/>
        <v>62</v>
      </c>
      <c r="G138" s="20">
        <v>2025</v>
      </c>
      <c r="H138" s="20" t="str">
        <f t="shared" si="7"/>
        <v>Q3 2025</v>
      </c>
      <c r="I138" s="20">
        <v>5</v>
      </c>
    </row>
    <row r="139" spans="1:9" ht="15" customHeight="1" x14ac:dyDescent="0.25">
      <c r="A139" s="22">
        <v>2406052660</v>
      </c>
      <c r="B139" s="22" t="s">
        <v>183</v>
      </c>
      <c r="C139" s="22" t="s">
        <v>17</v>
      </c>
      <c r="D139" s="50">
        <v>45742</v>
      </c>
      <c r="E139" s="23">
        <v>45792</v>
      </c>
      <c r="F139" s="22">
        <f t="shared" si="8"/>
        <v>50</v>
      </c>
      <c r="G139" s="22">
        <v>2025</v>
      </c>
      <c r="H139" s="22" t="str">
        <f t="shared" si="7"/>
        <v>Q3 2025</v>
      </c>
      <c r="I139" s="22">
        <v>5</v>
      </c>
    </row>
    <row r="140" spans="1:9" ht="15" customHeight="1" x14ac:dyDescent="0.25">
      <c r="A140" s="20">
        <v>2410052732</v>
      </c>
      <c r="B140" s="20" t="s">
        <v>184</v>
      </c>
      <c r="C140" s="20" t="s">
        <v>14</v>
      </c>
      <c r="D140" s="49">
        <v>45730</v>
      </c>
      <c r="E140" s="21">
        <v>45782</v>
      </c>
      <c r="F140" s="20">
        <f t="shared" si="8"/>
        <v>52</v>
      </c>
      <c r="G140" s="20">
        <v>2025</v>
      </c>
      <c r="H140" s="20" t="str">
        <f t="shared" si="7"/>
        <v>Q3 2025</v>
      </c>
      <c r="I140" s="20">
        <v>5</v>
      </c>
    </row>
    <row r="141" spans="1:9" ht="15" customHeight="1" x14ac:dyDescent="0.25">
      <c r="A141" s="22">
        <v>2401052491</v>
      </c>
      <c r="B141" s="22" t="s">
        <v>185</v>
      </c>
      <c r="C141" s="22" t="s">
        <v>15</v>
      </c>
      <c r="D141" s="50">
        <v>45730</v>
      </c>
      <c r="E141" s="23">
        <v>45782</v>
      </c>
      <c r="F141" s="22">
        <f t="shared" si="8"/>
        <v>52</v>
      </c>
      <c r="G141" s="22">
        <v>2025</v>
      </c>
      <c r="H141" s="22" t="str">
        <f t="shared" si="7"/>
        <v>Q3 2025</v>
      </c>
      <c r="I141" s="22">
        <v>5</v>
      </c>
    </row>
    <row r="142" spans="1:9" ht="15" customHeight="1" x14ac:dyDescent="0.25">
      <c r="A142" s="20">
        <v>2306052326</v>
      </c>
      <c r="B142" s="20" t="s">
        <v>186</v>
      </c>
      <c r="C142" s="20" t="s">
        <v>14</v>
      </c>
      <c r="D142" s="49">
        <v>45693</v>
      </c>
      <c r="E142" s="21">
        <v>45780</v>
      </c>
      <c r="F142" s="20">
        <f t="shared" si="8"/>
        <v>87</v>
      </c>
      <c r="G142" s="20">
        <v>2025</v>
      </c>
      <c r="H142" s="20" t="str">
        <f t="shared" si="7"/>
        <v>Q3 2025</v>
      </c>
      <c r="I142" s="20">
        <v>5</v>
      </c>
    </row>
    <row r="143" spans="1:9" ht="15" customHeight="1" x14ac:dyDescent="0.25">
      <c r="A143" s="22">
        <v>2212052160</v>
      </c>
      <c r="B143" s="22" t="s">
        <v>187</v>
      </c>
      <c r="C143" s="22" t="s">
        <v>14</v>
      </c>
      <c r="D143" s="50">
        <v>45553</v>
      </c>
      <c r="E143" s="23">
        <v>45779</v>
      </c>
      <c r="F143" s="22">
        <f t="shared" si="8"/>
        <v>226</v>
      </c>
      <c r="G143" s="22">
        <v>2025</v>
      </c>
      <c r="H143" s="22" t="str">
        <f t="shared" si="7"/>
        <v>Q3 2025</v>
      </c>
      <c r="I143" s="22">
        <v>5</v>
      </c>
    </row>
    <row r="144" spans="1:9" ht="15" customHeight="1" x14ac:dyDescent="0.25">
      <c r="A144" s="20">
        <v>2403052561</v>
      </c>
      <c r="B144" s="20" t="s">
        <v>188</v>
      </c>
      <c r="C144" s="20" t="s">
        <v>14</v>
      </c>
      <c r="D144" s="49">
        <v>45730</v>
      </c>
      <c r="E144" s="21">
        <v>45777</v>
      </c>
      <c r="F144" s="20">
        <f t="shared" si="8"/>
        <v>47</v>
      </c>
      <c r="G144" s="20">
        <v>2025</v>
      </c>
      <c r="H144" s="20" t="str">
        <f t="shared" si="7"/>
        <v>Q3 2025</v>
      </c>
      <c r="I144" s="20">
        <v>4</v>
      </c>
    </row>
    <row r="145" spans="1:9" ht="15" customHeight="1" x14ac:dyDescent="0.25">
      <c r="A145" s="22">
        <v>2311052456</v>
      </c>
      <c r="B145" s="22" t="s">
        <v>189</v>
      </c>
      <c r="C145" s="22" t="s">
        <v>15</v>
      </c>
      <c r="D145" s="50">
        <v>45728</v>
      </c>
      <c r="E145" s="23">
        <v>45771</v>
      </c>
      <c r="F145" s="22">
        <f t="shared" si="8"/>
        <v>43</v>
      </c>
      <c r="G145" s="22">
        <v>2025</v>
      </c>
      <c r="H145" s="22" t="str">
        <f t="shared" si="7"/>
        <v>Q3 2025</v>
      </c>
      <c r="I145" s="22">
        <v>4</v>
      </c>
    </row>
    <row r="146" spans="1:9" ht="15" customHeight="1" x14ac:dyDescent="0.25">
      <c r="A146" s="20">
        <v>2406052633</v>
      </c>
      <c r="B146" s="20" t="s">
        <v>190</v>
      </c>
      <c r="C146" s="20" t="s">
        <v>19</v>
      </c>
      <c r="D146" s="49">
        <v>45720</v>
      </c>
      <c r="E146" s="21">
        <v>45771</v>
      </c>
      <c r="F146" s="20">
        <f t="shared" si="8"/>
        <v>51</v>
      </c>
      <c r="G146" s="20">
        <v>2025</v>
      </c>
      <c r="H146" s="20" t="str">
        <f t="shared" si="7"/>
        <v>Q3 2025</v>
      </c>
      <c r="I146" s="20">
        <v>4</v>
      </c>
    </row>
    <row r="147" spans="1:9" ht="15" customHeight="1" x14ac:dyDescent="0.25">
      <c r="A147" s="22">
        <v>2409052719</v>
      </c>
      <c r="B147" s="22" t="s">
        <v>191</v>
      </c>
      <c r="C147" s="22" t="s">
        <v>14</v>
      </c>
      <c r="D147" s="50">
        <v>45692</v>
      </c>
      <c r="E147" s="23">
        <v>45770</v>
      </c>
      <c r="F147" s="22">
        <f t="shared" si="8"/>
        <v>78</v>
      </c>
      <c r="G147" s="22">
        <v>2025</v>
      </c>
      <c r="H147" s="22" t="str">
        <f t="shared" si="7"/>
        <v>Q3 2025</v>
      </c>
      <c r="I147" s="22">
        <v>4</v>
      </c>
    </row>
    <row r="148" spans="1:9" ht="15" customHeight="1" x14ac:dyDescent="0.25">
      <c r="A148" s="20">
        <v>2303052251</v>
      </c>
      <c r="B148" s="20" t="s">
        <v>192</v>
      </c>
      <c r="C148" s="20" t="s">
        <v>15</v>
      </c>
      <c r="D148" s="49">
        <v>45621</v>
      </c>
      <c r="E148" s="21">
        <v>45770</v>
      </c>
      <c r="F148" s="20">
        <f t="shared" si="8"/>
        <v>149</v>
      </c>
      <c r="G148" s="20">
        <v>2025</v>
      </c>
      <c r="H148" s="20" t="str">
        <f t="shared" si="7"/>
        <v>Q3 2025</v>
      </c>
      <c r="I148" s="20">
        <v>4</v>
      </c>
    </row>
    <row r="149" spans="1:9" ht="15" customHeight="1" x14ac:dyDescent="0.25">
      <c r="A149" s="22">
        <v>2311052452</v>
      </c>
      <c r="B149" s="22" t="s">
        <v>193</v>
      </c>
      <c r="C149" s="22" t="s">
        <v>15</v>
      </c>
      <c r="D149" s="50">
        <v>45700</v>
      </c>
      <c r="E149" s="23">
        <v>45763</v>
      </c>
      <c r="F149" s="22">
        <f t="shared" si="8"/>
        <v>63</v>
      </c>
      <c r="G149" s="22">
        <v>2025</v>
      </c>
      <c r="H149" s="22" t="str">
        <f t="shared" si="7"/>
        <v>Q2 2025</v>
      </c>
      <c r="I149" s="22">
        <v>4</v>
      </c>
    </row>
    <row r="150" spans="1:9" ht="15" customHeight="1" x14ac:dyDescent="0.25">
      <c r="A150" s="20">
        <v>2310052433</v>
      </c>
      <c r="B150" s="20" t="s">
        <v>194</v>
      </c>
      <c r="C150" s="20" t="s">
        <v>14</v>
      </c>
      <c r="D150" s="49">
        <v>45693</v>
      </c>
      <c r="E150" s="21">
        <v>45762</v>
      </c>
      <c r="F150" s="20">
        <f t="shared" si="8"/>
        <v>69</v>
      </c>
      <c r="G150" s="20">
        <v>2025</v>
      </c>
      <c r="H150" s="20" t="str">
        <f t="shared" si="7"/>
        <v>Q2 2025</v>
      </c>
      <c r="I150" s="20">
        <v>4</v>
      </c>
    </row>
    <row r="151" spans="1:9" ht="15" customHeight="1" x14ac:dyDescent="0.25">
      <c r="A151" s="22">
        <v>2410052743</v>
      </c>
      <c r="B151" s="22" t="s">
        <v>195</v>
      </c>
      <c r="C151" s="22" t="s">
        <v>14</v>
      </c>
      <c r="D151" s="50">
        <v>45744</v>
      </c>
      <c r="E151" s="23">
        <v>45758</v>
      </c>
      <c r="F151" s="22">
        <f t="shared" si="8"/>
        <v>14</v>
      </c>
      <c r="G151" s="22">
        <v>2025</v>
      </c>
      <c r="H151" s="22" t="str">
        <f t="shared" si="7"/>
        <v>Q2 2025</v>
      </c>
      <c r="I151" s="22">
        <v>4</v>
      </c>
    </row>
    <row r="152" spans="1:9" ht="15" customHeight="1" x14ac:dyDescent="0.25">
      <c r="A152" s="20">
        <v>2311052465</v>
      </c>
      <c r="B152" s="20" t="s">
        <v>196</v>
      </c>
      <c r="C152" s="20" t="s">
        <v>14</v>
      </c>
      <c r="D152" s="49">
        <v>45693</v>
      </c>
      <c r="E152" s="21">
        <v>45758</v>
      </c>
      <c r="F152" s="20">
        <f t="shared" si="8"/>
        <v>65</v>
      </c>
      <c r="G152" s="20">
        <v>2025</v>
      </c>
      <c r="H152" s="20" t="str">
        <f t="shared" ref="H152:H178" si="9">"Q"&amp;INT((MONTH(E130)-1)/3)+1&amp;" "&amp;YEAR(E130)</f>
        <v>Q2 2025</v>
      </c>
      <c r="I152" s="20">
        <v>4</v>
      </c>
    </row>
    <row r="153" spans="1:9" ht="15" customHeight="1" x14ac:dyDescent="0.25">
      <c r="A153" s="22">
        <v>2309052383</v>
      </c>
      <c r="B153" s="22" t="s">
        <v>197</v>
      </c>
      <c r="C153" s="22" t="s">
        <v>14</v>
      </c>
      <c r="D153" s="50">
        <v>45719</v>
      </c>
      <c r="E153" s="23">
        <v>45752</v>
      </c>
      <c r="F153" s="22">
        <f t="shared" si="8"/>
        <v>33</v>
      </c>
      <c r="G153" s="22">
        <v>2025</v>
      </c>
      <c r="H153" s="22" t="str">
        <f t="shared" si="9"/>
        <v>Q2 2025</v>
      </c>
      <c r="I153" s="22">
        <v>4</v>
      </c>
    </row>
    <row r="154" spans="1:9" ht="15" customHeight="1" x14ac:dyDescent="0.25">
      <c r="A154" s="20">
        <v>2307052363</v>
      </c>
      <c r="B154" s="20" t="s">
        <v>198</v>
      </c>
      <c r="C154" s="20" t="s">
        <v>15</v>
      </c>
      <c r="D154" s="49">
        <v>45664</v>
      </c>
      <c r="E154" s="21">
        <v>45750</v>
      </c>
      <c r="F154" s="20">
        <f t="shared" si="8"/>
        <v>86</v>
      </c>
      <c r="G154" s="20">
        <v>2025</v>
      </c>
      <c r="H154" s="20" t="str">
        <f t="shared" si="9"/>
        <v>Q2 2025</v>
      </c>
      <c r="I154" s="20">
        <v>4</v>
      </c>
    </row>
    <row r="155" spans="1:9" ht="15" customHeight="1" x14ac:dyDescent="0.25">
      <c r="A155" s="22">
        <v>2311052448</v>
      </c>
      <c r="B155" s="22" t="s">
        <v>199</v>
      </c>
      <c r="C155" s="22" t="s">
        <v>14</v>
      </c>
      <c r="D155" s="50">
        <v>45712</v>
      </c>
      <c r="E155" s="23">
        <v>45745</v>
      </c>
      <c r="F155" s="22">
        <f t="shared" si="8"/>
        <v>33</v>
      </c>
      <c r="G155" s="22">
        <v>2025</v>
      </c>
      <c r="H155" s="22" t="str">
        <f t="shared" si="9"/>
        <v>Q2 2025</v>
      </c>
      <c r="I155" s="22">
        <v>3</v>
      </c>
    </row>
    <row r="156" spans="1:9" ht="15" customHeight="1" x14ac:dyDescent="0.25">
      <c r="A156" s="20">
        <v>2311052450</v>
      </c>
      <c r="B156" s="20" t="s">
        <v>200</v>
      </c>
      <c r="C156" s="20" t="s">
        <v>15</v>
      </c>
      <c r="D156" s="49">
        <v>45678</v>
      </c>
      <c r="E156" s="21">
        <v>45740</v>
      </c>
      <c r="F156" s="20">
        <f t="shared" si="8"/>
        <v>62</v>
      </c>
      <c r="G156" s="20">
        <v>2025</v>
      </c>
      <c r="H156" s="20" t="str">
        <f t="shared" si="9"/>
        <v>Q2 2025</v>
      </c>
      <c r="I156" s="20">
        <v>3</v>
      </c>
    </row>
    <row r="157" spans="1:9" ht="15" customHeight="1" x14ac:dyDescent="0.25">
      <c r="A157" s="22">
        <v>2301052189</v>
      </c>
      <c r="B157" s="22" t="s">
        <v>201</v>
      </c>
      <c r="C157" s="22" t="s">
        <v>15</v>
      </c>
      <c r="D157" s="50">
        <v>45623</v>
      </c>
      <c r="E157" s="23">
        <v>45735</v>
      </c>
      <c r="F157" s="22">
        <f t="shared" si="8"/>
        <v>112</v>
      </c>
      <c r="G157" s="22">
        <v>2025</v>
      </c>
      <c r="H157" s="22" t="str">
        <f t="shared" si="9"/>
        <v>Q2 2025</v>
      </c>
      <c r="I157" s="22">
        <v>3</v>
      </c>
    </row>
    <row r="158" spans="1:9" ht="15" customHeight="1" x14ac:dyDescent="0.25">
      <c r="A158" s="20">
        <v>2311052449</v>
      </c>
      <c r="B158" s="20" t="s">
        <v>202</v>
      </c>
      <c r="C158" s="20" t="s">
        <v>15</v>
      </c>
      <c r="D158" s="49">
        <v>45610</v>
      </c>
      <c r="E158" s="21">
        <v>45733</v>
      </c>
      <c r="F158" s="20">
        <f t="shared" si="8"/>
        <v>123</v>
      </c>
      <c r="G158" s="20">
        <v>2025</v>
      </c>
      <c r="H158" s="20" t="str">
        <f t="shared" si="9"/>
        <v>Q2 2025</v>
      </c>
      <c r="I158" s="20">
        <v>3</v>
      </c>
    </row>
    <row r="159" spans="1:9" ht="15" customHeight="1" x14ac:dyDescent="0.25">
      <c r="A159" s="22">
        <v>2409052715</v>
      </c>
      <c r="B159" s="22" t="s">
        <v>203</v>
      </c>
      <c r="C159" s="22" t="s">
        <v>14</v>
      </c>
      <c r="D159" s="50">
        <v>45693</v>
      </c>
      <c r="E159" s="23">
        <v>45729</v>
      </c>
      <c r="F159" s="22">
        <f t="shared" si="8"/>
        <v>36</v>
      </c>
      <c r="G159" s="22">
        <v>2025</v>
      </c>
      <c r="H159" s="22" t="str">
        <f t="shared" si="9"/>
        <v>Q2 2025</v>
      </c>
      <c r="I159" s="22">
        <v>3</v>
      </c>
    </row>
    <row r="160" spans="1:9" ht="15" customHeight="1" x14ac:dyDescent="0.25">
      <c r="A160" s="20">
        <v>2210052090</v>
      </c>
      <c r="B160" s="20" t="s">
        <v>204</v>
      </c>
      <c r="C160" s="20" t="s">
        <v>14</v>
      </c>
      <c r="D160" s="49">
        <v>45693</v>
      </c>
      <c r="E160" s="21">
        <v>45727</v>
      </c>
      <c r="F160" s="20">
        <f t="shared" si="8"/>
        <v>34</v>
      </c>
      <c r="G160" s="20">
        <v>2025</v>
      </c>
      <c r="H160" s="20" t="str">
        <f t="shared" si="9"/>
        <v>Q2 2025</v>
      </c>
      <c r="I160" s="20">
        <v>3</v>
      </c>
    </row>
    <row r="161" spans="1:9" ht="15" customHeight="1" x14ac:dyDescent="0.25">
      <c r="A161" s="22">
        <v>2307052355</v>
      </c>
      <c r="B161" s="22" t="s">
        <v>205</v>
      </c>
      <c r="C161" s="22" t="s">
        <v>15</v>
      </c>
      <c r="D161" s="50">
        <v>45617</v>
      </c>
      <c r="E161" s="23">
        <v>45720</v>
      </c>
      <c r="F161" s="22">
        <f t="shared" si="8"/>
        <v>103</v>
      </c>
      <c r="G161" s="22">
        <v>2025</v>
      </c>
      <c r="H161" s="22" t="str">
        <f t="shared" si="9"/>
        <v>Q2 2025</v>
      </c>
      <c r="I161" s="22">
        <v>3</v>
      </c>
    </row>
    <row r="162" spans="1:9" ht="15" customHeight="1" x14ac:dyDescent="0.25">
      <c r="A162" s="20">
        <v>2307052350</v>
      </c>
      <c r="B162" s="20" t="s">
        <v>206</v>
      </c>
      <c r="C162" s="20" t="s">
        <v>15</v>
      </c>
      <c r="D162" s="49">
        <v>45593</v>
      </c>
      <c r="E162" s="21">
        <v>45720</v>
      </c>
      <c r="F162" s="20">
        <f t="shared" ref="F162:F193" si="10">E162-D162</f>
        <v>127</v>
      </c>
      <c r="G162" s="20">
        <v>2025</v>
      </c>
      <c r="H162" s="20" t="str">
        <f t="shared" si="9"/>
        <v>Q2 2025</v>
      </c>
      <c r="I162" s="20">
        <v>3</v>
      </c>
    </row>
    <row r="163" spans="1:9" ht="15" customHeight="1" x14ac:dyDescent="0.25">
      <c r="A163" s="22">
        <v>2311052442</v>
      </c>
      <c r="B163" s="22" t="s">
        <v>207</v>
      </c>
      <c r="C163" s="22" t="s">
        <v>17</v>
      </c>
      <c r="D163" s="50">
        <v>45621</v>
      </c>
      <c r="E163" s="23">
        <v>45716</v>
      </c>
      <c r="F163" s="22">
        <f t="shared" si="10"/>
        <v>95</v>
      </c>
      <c r="G163" s="22">
        <v>2025</v>
      </c>
      <c r="H163" s="22" t="str">
        <f t="shared" si="9"/>
        <v>Q2 2025</v>
      </c>
      <c r="I163" s="22">
        <v>2</v>
      </c>
    </row>
    <row r="164" spans="1:9" ht="15" customHeight="1" x14ac:dyDescent="0.25">
      <c r="A164" s="20">
        <v>2208052039</v>
      </c>
      <c r="B164" s="20" t="s">
        <v>208</v>
      </c>
      <c r="C164" s="20" t="s">
        <v>14</v>
      </c>
      <c r="D164" s="49">
        <v>45583</v>
      </c>
      <c r="E164" s="21">
        <v>45716</v>
      </c>
      <c r="F164" s="20">
        <f t="shared" si="10"/>
        <v>133</v>
      </c>
      <c r="G164" s="20">
        <v>2025</v>
      </c>
      <c r="H164" s="20" t="str">
        <f t="shared" si="9"/>
        <v>Q2 2025</v>
      </c>
      <c r="I164" s="20">
        <v>2</v>
      </c>
    </row>
    <row r="165" spans="1:9" ht="15" customHeight="1" x14ac:dyDescent="0.25">
      <c r="A165" s="22">
        <v>2407052679</v>
      </c>
      <c r="B165" s="22" t="s">
        <v>209</v>
      </c>
      <c r="C165" s="22" t="s">
        <v>17</v>
      </c>
      <c r="D165" s="50">
        <v>45693</v>
      </c>
      <c r="E165" s="23">
        <v>45715</v>
      </c>
      <c r="F165" s="22">
        <f t="shared" si="10"/>
        <v>22</v>
      </c>
      <c r="G165" s="22">
        <v>2025</v>
      </c>
      <c r="H165" s="22" t="str">
        <f t="shared" si="9"/>
        <v>Q2 2025</v>
      </c>
      <c r="I165" s="22">
        <v>2</v>
      </c>
    </row>
    <row r="166" spans="1:9" ht="15" customHeight="1" x14ac:dyDescent="0.25">
      <c r="A166" s="20">
        <v>2404052588</v>
      </c>
      <c r="B166" s="20" t="s">
        <v>210</v>
      </c>
      <c r="C166" s="22" t="s">
        <v>17</v>
      </c>
      <c r="D166" s="49">
        <v>45615</v>
      </c>
      <c r="E166" s="21">
        <v>45715</v>
      </c>
      <c r="F166" s="20">
        <f t="shared" si="10"/>
        <v>100</v>
      </c>
      <c r="G166" s="20">
        <v>2025</v>
      </c>
      <c r="H166" s="20" t="str">
        <f t="shared" si="9"/>
        <v>Q2 2025</v>
      </c>
      <c r="I166" s="20">
        <v>2</v>
      </c>
    </row>
    <row r="167" spans="1:9" ht="15" customHeight="1" x14ac:dyDescent="0.25">
      <c r="A167" s="22">
        <v>2312052474</v>
      </c>
      <c r="B167" s="22" t="s">
        <v>211</v>
      </c>
      <c r="C167" s="22" t="s">
        <v>15</v>
      </c>
      <c r="D167" s="50">
        <v>45693</v>
      </c>
      <c r="E167" s="23">
        <v>45713</v>
      </c>
      <c r="F167" s="22">
        <f t="shared" si="10"/>
        <v>20</v>
      </c>
      <c r="G167" s="22">
        <v>2025</v>
      </c>
      <c r="H167" s="22" t="str">
        <f t="shared" si="9"/>
        <v>Q2 2025</v>
      </c>
      <c r="I167" s="22">
        <v>2</v>
      </c>
    </row>
    <row r="168" spans="1:9" ht="15" customHeight="1" x14ac:dyDescent="0.25">
      <c r="A168" s="20">
        <v>2402052549</v>
      </c>
      <c r="B168" s="20" t="s">
        <v>212</v>
      </c>
      <c r="C168" s="20" t="s">
        <v>16</v>
      </c>
      <c r="D168" s="49">
        <v>45674</v>
      </c>
      <c r="E168" s="21">
        <v>45709</v>
      </c>
      <c r="F168" s="20">
        <f t="shared" si="10"/>
        <v>35</v>
      </c>
      <c r="G168" s="20">
        <v>2025</v>
      </c>
      <c r="H168" s="20" t="str">
        <f t="shared" si="9"/>
        <v>Q2 2025</v>
      </c>
      <c r="I168" s="20">
        <v>2</v>
      </c>
    </row>
    <row r="169" spans="1:9" ht="15" customHeight="1" x14ac:dyDescent="0.25">
      <c r="A169" s="22">
        <v>2402052509</v>
      </c>
      <c r="B169" s="22" t="s">
        <v>213</v>
      </c>
      <c r="C169" s="22" t="s">
        <v>16</v>
      </c>
      <c r="D169" s="50">
        <v>45607</v>
      </c>
      <c r="E169" s="23">
        <v>45706</v>
      </c>
      <c r="F169" s="22">
        <f t="shared" si="10"/>
        <v>99</v>
      </c>
      <c r="G169" s="22">
        <v>2025</v>
      </c>
      <c r="H169" s="22" t="str">
        <f t="shared" si="9"/>
        <v>Q2 2025</v>
      </c>
      <c r="I169" s="22">
        <v>2</v>
      </c>
    </row>
    <row r="170" spans="1:9" ht="15" customHeight="1" x14ac:dyDescent="0.25">
      <c r="A170" s="20">
        <v>2305052311</v>
      </c>
      <c r="B170" s="20" t="s">
        <v>214</v>
      </c>
      <c r="C170" s="22" t="s">
        <v>17</v>
      </c>
      <c r="D170" s="49">
        <v>45664</v>
      </c>
      <c r="E170" s="21">
        <v>45705</v>
      </c>
      <c r="F170" s="20">
        <f t="shared" si="10"/>
        <v>41</v>
      </c>
      <c r="G170" s="20">
        <v>2025</v>
      </c>
      <c r="H170" s="20" t="str">
        <f t="shared" si="9"/>
        <v>Q2 2025</v>
      </c>
      <c r="I170" s="20">
        <v>2</v>
      </c>
    </row>
    <row r="171" spans="1:9" ht="15" customHeight="1" x14ac:dyDescent="0.25">
      <c r="A171" s="22">
        <v>2212052161</v>
      </c>
      <c r="B171" s="22" t="s">
        <v>215</v>
      </c>
      <c r="C171" s="22" t="s">
        <v>14</v>
      </c>
      <c r="D171" s="50">
        <v>45672</v>
      </c>
      <c r="E171" s="23">
        <v>45702</v>
      </c>
      <c r="F171" s="22">
        <f t="shared" si="10"/>
        <v>30</v>
      </c>
      <c r="G171" s="22">
        <v>2025</v>
      </c>
      <c r="H171" s="22" t="str">
        <f t="shared" si="9"/>
        <v>Q2 2025</v>
      </c>
      <c r="I171" s="22">
        <v>2</v>
      </c>
    </row>
    <row r="172" spans="1:9" ht="15" customHeight="1" x14ac:dyDescent="0.25">
      <c r="A172" s="20">
        <v>2211052131</v>
      </c>
      <c r="B172" s="20" t="s">
        <v>216</v>
      </c>
      <c r="C172" s="20" t="s">
        <v>14</v>
      </c>
      <c r="D172" s="49">
        <v>45667</v>
      </c>
      <c r="E172" s="21">
        <v>45701</v>
      </c>
      <c r="F172" s="20">
        <f t="shared" si="10"/>
        <v>34</v>
      </c>
      <c r="G172" s="20">
        <v>2025</v>
      </c>
      <c r="H172" s="20" t="str">
        <f t="shared" si="9"/>
        <v>Q2 2025</v>
      </c>
      <c r="I172" s="20">
        <v>2</v>
      </c>
    </row>
    <row r="173" spans="1:9" ht="15" customHeight="1" x14ac:dyDescent="0.25">
      <c r="A173" s="22">
        <v>2307052362</v>
      </c>
      <c r="B173" s="22" t="s">
        <v>217</v>
      </c>
      <c r="C173" s="22" t="s">
        <v>15</v>
      </c>
      <c r="D173" s="50">
        <v>45581</v>
      </c>
      <c r="E173" s="23">
        <v>45700</v>
      </c>
      <c r="F173" s="22">
        <f t="shared" si="10"/>
        <v>119</v>
      </c>
      <c r="G173" s="22">
        <v>2025</v>
      </c>
      <c r="H173" s="22" t="str">
        <f t="shared" si="9"/>
        <v>Q2 2025</v>
      </c>
      <c r="I173" s="22">
        <v>2</v>
      </c>
    </row>
    <row r="174" spans="1:9" ht="15" customHeight="1" x14ac:dyDescent="0.25">
      <c r="A174" s="20">
        <v>2401052489</v>
      </c>
      <c r="B174" s="20" t="s">
        <v>218</v>
      </c>
      <c r="C174" s="20" t="s">
        <v>14</v>
      </c>
      <c r="D174" s="49">
        <v>45612</v>
      </c>
      <c r="E174" s="21">
        <v>45695</v>
      </c>
      <c r="F174" s="20">
        <f t="shared" si="10"/>
        <v>83</v>
      </c>
      <c r="G174" s="20">
        <v>2025</v>
      </c>
      <c r="H174" s="20" t="str">
        <f t="shared" si="9"/>
        <v>Q2 2025</v>
      </c>
      <c r="I174" s="20">
        <v>2</v>
      </c>
    </row>
    <row r="175" spans="1:9" ht="15" customHeight="1" x14ac:dyDescent="0.25">
      <c r="A175" s="22">
        <v>2408052698</v>
      </c>
      <c r="B175" s="22" t="s">
        <v>219</v>
      </c>
      <c r="C175" s="22" t="s">
        <v>14</v>
      </c>
      <c r="D175" s="50">
        <v>45628</v>
      </c>
      <c r="E175" s="23">
        <v>45694</v>
      </c>
      <c r="F175" s="22">
        <f t="shared" si="10"/>
        <v>66</v>
      </c>
      <c r="G175" s="22">
        <v>2025</v>
      </c>
      <c r="H175" s="22" t="str">
        <f t="shared" si="9"/>
        <v>Q2 2025</v>
      </c>
      <c r="I175" s="22">
        <v>2</v>
      </c>
    </row>
    <row r="176" spans="1:9" ht="15" customHeight="1" x14ac:dyDescent="0.25">
      <c r="A176" s="20">
        <v>2307052351</v>
      </c>
      <c r="B176" s="20" t="s">
        <v>220</v>
      </c>
      <c r="C176" s="20" t="s">
        <v>14</v>
      </c>
      <c r="D176" s="49">
        <v>45623</v>
      </c>
      <c r="E176" s="21">
        <v>45680</v>
      </c>
      <c r="F176" s="20">
        <f t="shared" si="10"/>
        <v>57</v>
      </c>
      <c r="G176" s="20">
        <v>2025</v>
      </c>
      <c r="H176" s="20" t="str">
        <f t="shared" si="9"/>
        <v>Q2 2025</v>
      </c>
      <c r="I176" s="20">
        <v>1</v>
      </c>
    </row>
    <row r="177" spans="1:9" ht="15" customHeight="1" x14ac:dyDescent="0.25">
      <c r="A177" s="22">
        <v>2211052140</v>
      </c>
      <c r="B177" s="22" t="s">
        <v>221</v>
      </c>
      <c r="C177" s="22" t="s">
        <v>15</v>
      </c>
      <c r="D177" s="50">
        <v>45596</v>
      </c>
      <c r="E177" s="23">
        <v>45679</v>
      </c>
      <c r="F177" s="22">
        <f t="shared" si="10"/>
        <v>83</v>
      </c>
      <c r="G177" s="22">
        <v>2025</v>
      </c>
      <c r="H177" s="22" t="str">
        <f t="shared" si="9"/>
        <v>Q1 2025</v>
      </c>
      <c r="I177" s="22">
        <v>1</v>
      </c>
    </row>
    <row r="178" spans="1:9" ht="15" customHeight="1" x14ac:dyDescent="0.25">
      <c r="A178" s="20">
        <v>2311052455</v>
      </c>
      <c r="B178" s="20" t="s">
        <v>222</v>
      </c>
      <c r="C178" s="20" t="s">
        <v>15</v>
      </c>
      <c r="D178" s="49">
        <v>45607</v>
      </c>
      <c r="E178" s="21">
        <v>45673</v>
      </c>
      <c r="F178" s="20">
        <f t="shared" si="10"/>
        <v>66</v>
      </c>
      <c r="G178" s="20">
        <v>2025</v>
      </c>
      <c r="H178" s="20" t="str">
        <f t="shared" si="9"/>
        <v>Q1 2025</v>
      </c>
      <c r="I178" s="20">
        <v>1</v>
      </c>
    </row>
    <row r="179" spans="1:9" ht="15" customHeight="1" x14ac:dyDescent="0.25">
      <c r="A179" s="22">
        <v>2307052353</v>
      </c>
      <c r="B179" s="22" t="s">
        <v>223</v>
      </c>
      <c r="C179" s="22" t="s">
        <v>15</v>
      </c>
      <c r="D179" s="50">
        <v>45537</v>
      </c>
      <c r="E179" s="23">
        <v>45672</v>
      </c>
      <c r="F179" s="22">
        <f t="shared" si="10"/>
        <v>135</v>
      </c>
      <c r="G179" s="22">
        <v>2025</v>
      </c>
      <c r="H179" s="22" t="s">
        <v>224</v>
      </c>
      <c r="I179" s="22">
        <v>1</v>
      </c>
    </row>
    <row r="180" spans="1:9" ht="15" customHeight="1" x14ac:dyDescent="0.25">
      <c r="A180" s="22">
        <v>2409052712</v>
      </c>
      <c r="B180" s="25" t="s">
        <v>225</v>
      </c>
      <c r="C180" s="20" t="s">
        <v>14</v>
      </c>
      <c r="D180" s="48">
        <v>45989</v>
      </c>
      <c r="E180" s="17">
        <v>46078</v>
      </c>
      <c r="F180" s="25">
        <f t="shared" si="10"/>
        <v>89</v>
      </c>
      <c r="G180" s="25">
        <v>2026</v>
      </c>
      <c r="H180" s="25" t="str">
        <f t="shared" ref="H180:H185" si="11">"Q"&amp;INT((MONTH(E158)-1)/3)+1&amp;" "&amp;YEAR(E158)</f>
        <v>Q1 2025</v>
      </c>
      <c r="I180" s="25">
        <v>2</v>
      </c>
    </row>
    <row r="181" spans="1:9" ht="15" customHeight="1" x14ac:dyDescent="0.25">
      <c r="A181" s="22">
        <v>2411052774</v>
      </c>
      <c r="B181" t="s">
        <v>226</v>
      </c>
      <c r="C181" s="20" t="s">
        <v>14</v>
      </c>
      <c r="D181" s="48">
        <v>45980</v>
      </c>
      <c r="E181" s="17">
        <v>46078</v>
      </c>
      <c r="F181" s="25">
        <f t="shared" si="10"/>
        <v>98</v>
      </c>
      <c r="G181" s="25">
        <v>2026</v>
      </c>
      <c r="H181" s="25" t="str">
        <f t="shared" si="11"/>
        <v>Q1 2025</v>
      </c>
      <c r="I181" s="25">
        <v>2</v>
      </c>
    </row>
    <row r="182" spans="1:9" ht="15" customHeight="1" x14ac:dyDescent="0.25">
      <c r="A182" s="22">
        <v>2502052829</v>
      </c>
      <c r="B182" t="s">
        <v>227</v>
      </c>
      <c r="C182" s="20" t="s">
        <v>14</v>
      </c>
      <c r="D182" s="48">
        <v>45957</v>
      </c>
      <c r="E182" s="17">
        <v>46083</v>
      </c>
      <c r="F182" s="25">
        <f t="shared" si="10"/>
        <v>126</v>
      </c>
      <c r="G182" s="25">
        <v>2026</v>
      </c>
      <c r="H182" s="25" t="str">
        <f t="shared" si="11"/>
        <v>Q1 2025</v>
      </c>
      <c r="I182" s="25">
        <v>3</v>
      </c>
    </row>
    <row r="183" spans="1:9" ht="15" customHeight="1" x14ac:dyDescent="0.25">
      <c r="A183" s="22">
        <v>2504052898</v>
      </c>
      <c r="B183" t="s">
        <v>228</v>
      </c>
      <c r="C183" s="25" t="s">
        <v>15</v>
      </c>
      <c r="D183" s="48">
        <v>45987</v>
      </c>
      <c r="E183" s="17">
        <v>46071</v>
      </c>
      <c r="F183" s="25">
        <f t="shared" si="10"/>
        <v>84</v>
      </c>
      <c r="G183" s="25">
        <v>2026</v>
      </c>
      <c r="H183" s="25" t="str">
        <f t="shared" si="11"/>
        <v>Q1 2025</v>
      </c>
      <c r="I183" s="25">
        <v>2</v>
      </c>
    </row>
    <row r="184" spans="1:9" ht="15" customHeight="1" x14ac:dyDescent="0.25">
      <c r="A184" s="22">
        <v>2505052910</v>
      </c>
      <c r="B184" t="s">
        <v>229</v>
      </c>
      <c r="C184" s="25" t="s">
        <v>15</v>
      </c>
      <c r="D184" s="48">
        <v>45964</v>
      </c>
      <c r="E184" s="17">
        <v>46076</v>
      </c>
      <c r="F184" s="25">
        <f t="shared" si="10"/>
        <v>112</v>
      </c>
      <c r="G184" s="25">
        <v>2026</v>
      </c>
      <c r="H184" s="25" t="str">
        <f t="shared" si="11"/>
        <v>Q1 2025</v>
      </c>
      <c r="I184" s="25">
        <v>2</v>
      </c>
    </row>
    <row r="185" spans="1:9" ht="15" customHeight="1" x14ac:dyDescent="0.25">
      <c r="A185" s="22">
        <v>2507052962</v>
      </c>
      <c r="B185" t="s">
        <v>230</v>
      </c>
      <c r="C185" s="20" t="s">
        <v>14</v>
      </c>
      <c r="D185" s="48">
        <v>46017</v>
      </c>
      <c r="E185" s="17">
        <v>46074</v>
      </c>
      <c r="F185" s="25">
        <f t="shared" si="10"/>
        <v>57</v>
      </c>
      <c r="G185" s="25">
        <v>2026</v>
      </c>
      <c r="H185" s="25" t="str">
        <f t="shared" si="11"/>
        <v>Q1 2025</v>
      </c>
      <c r="I185" s="25">
        <v>2</v>
      </c>
    </row>
    <row r="186" spans="1:9" ht="15.75" customHeight="1" x14ac:dyDescent="0.25">
      <c r="A186" s="26">
        <v>2403052575</v>
      </c>
      <c r="B186" s="26" t="s">
        <v>231</v>
      </c>
      <c r="C186" s="27" t="s">
        <v>15</v>
      </c>
      <c r="D186" s="51">
        <v>46094</v>
      </c>
      <c r="E186" s="17">
        <v>46125</v>
      </c>
      <c r="F186" s="25">
        <f t="shared" si="10"/>
        <v>31</v>
      </c>
      <c r="G186" s="25">
        <v>2026</v>
      </c>
      <c r="H186" t="s">
        <v>64</v>
      </c>
      <c r="I186">
        <v>4</v>
      </c>
    </row>
    <row r="187" spans="1:9" ht="15.75" customHeight="1" x14ac:dyDescent="0.25">
      <c r="A187" s="26">
        <v>2502052812</v>
      </c>
      <c r="B187" s="26" t="s">
        <v>232</v>
      </c>
      <c r="C187" s="22" t="s">
        <v>16</v>
      </c>
      <c r="D187" s="51">
        <v>45989</v>
      </c>
      <c r="E187" s="17">
        <v>46130</v>
      </c>
      <c r="F187" s="25">
        <f t="shared" si="10"/>
        <v>141</v>
      </c>
      <c r="G187" s="25">
        <v>2026</v>
      </c>
      <c r="H187" t="s">
        <v>64</v>
      </c>
      <c r="I187">
        <v>4</v>
      </c>
    </row>
    <row r="188" spans="1:9" ht="15.75" customHeight="1" x14ac:dyDescent="0.25">
      <c r="A188" s="26">
        <v>2502052813</v>
      </c>
      <c r="B188" s="26" t="s">
        <v>233</v>
      </c>
      <c r="C188" s="22" t="s">
        <v>16</v>
      </c>
      <c r="D188" s="48">
        <v>46043</v>
      </c>
      <c r="E188" s="28">
        <v>46136</v>
      </c>
      <c r="F188" s="25">
        <f t="shared" si="10"/>
        <v>93</v>
      </c>
      <c r="G188" s="25">
        <v>2026</v>
      </c>
      <c r="H188" t="s">
        <v>64</v>
      </c>
      <c r="I188">
        <v>4</v>
      </c>
    </row>
    <row r="189" spans="1:9" ht="30.75" customHeight="1" x14ac:dyDescent="0.25">
      <c r="A189" s="26">
        <v>2503052852</v>
      </c>
      <c r="B189" s="26" t="s">
        <v>234</v>
      </c>
      <c r="C189" s="29" t="s">
        <v>107</v>
      </c>
      <c r="D189" s="48">
        <v>46083</v>
      </c>
      <c r="E189" s="28">
        <v>46142</v>
      </c>
      <c r="F189" s="25">
        <f t="shared" si="10"/>
        <v>59</v>
      </c>
      <c r="G189" s="25">
        <v>2026</v>
      </c>
      <c r="H189" t="s">
        <v>64</v>
      </c>
      <c r="I189">
        <v>4</v>
      </c>
    </row>
    <row r="190" spans="1:9" ht="15.75" customHeight="1" x14ac:dyDescent="0.25">
      <c r="A190" s="26">
        <v>2503052861</v>
      </c>
      <c r="B190" s="26" t="s">
        <v>235</v>
      </c>
      <c r="C190" s="22" t="s">
        <v>16</v>
      </c>
      <c r="D190" s="48">
        <v>46119</v>
      </c>
      <c r="E190" s="28">
        <v>46133</v>
      </c>
      <c r="F190" s="25">
        <f t="shared" si="10"/>
        <v>14</v>
      </c>
      <c r="G190" s="25">
        <v>2026</v>
      </c>
      <c r="H190" t="s">
        <v>64</v>
      </c>
      <c r="I190">
        <v>4</v>
      </c>
    </row>
    <row r="191" spans="1:9" ht="30.75" customHeight="1" x14ac:dyDescent="0.25">
      <c r="A191" s="26">
        <v>2504052893</v>
      </c>
      <c r="B191" s="26" t="s">
        <v>236</v>
      </c>
      <c r="C191" s="20" t="s">
        <v>19</v>
      </c>
      <c r="D191" s="48">
        <v>46107</v>
      </c>
      <c r="E191" s="28">
        <v>46128</v>
      </c>
      <c r="F191" s="25">
        <f t="shared" si="10"/>
        <v>21</v>
      </c>
      <c r="G191" s="25">
        <v>2026</v>
      </c>
      <c r="H191" t="s">
        <v>64</v>
      </c>
      <c r="I191">
        <v>4</v>
      </c>
    </row>
    <row r="192" spans="1:9" ht="15.75" customHeight="1" x14ac:dyDescent="0.25">
      <c r="A192" s="26">
        <v>2505052911</v>
      </c>
      <c r="B192" s="26" t="s">
        <v>237</v>
      </c>
      <c r="C192" s="20" t="s">
        <v>19</v>
      </c>
      <c r="D192" s="48">
        <v>46112</v>
      </c>
      <c r="E192" s="28">
        <v>46136</v>
      </c>
      <c r="F192" s="25">
        <f t="shared" si="10"/>
        <v>24</v>
      </c>
      <c r="G192" s="25">
        <v>2026</v>
      </c>
      <c r="H192" t="s">
        <v>64</v>
      </c>
      <c r="I192">
        <v>4</v>
      </c>
    </row>
    <row r="193" spans="1:9" ht="15.75" customHeight="1" x14ac:dyDescent="0.25">
      <c r="A193" s="26">
        <v>2507052947</v>
      </c>
      <c r="B193" s="26" t="s">
        <v>238</v>
      </c>
      <c r="C193" s="27" t="s">
        <v>15</v>
      </c>
      <c r="D193" s="48">
        <v>46126</v>
      </c>
      <c r="E193" s="28">
        <v>46142</v>
      </c>
      <c r="F193" s="30">
        <f t="shared" si="10"/>
        <v>16</v>
      </c>
      <c r="G193" s="25">
        <v>2026</v>
      </c>
      <c r="H193" t="s">
        <v>64</v>
      </c>
      <c r="I193">
        <v>4</v>
      </c>
    </row>
    <row r="194" spans="1:9" ht="15.75" customHeight="1" x14ac:dyDescent="0.25">
      <c r="A194" s="26">
        <v>2512053041</v>
      </c>
      <c r="B194" s="26" t="s">
        <v>63</v>
      </c>
      <c r="C194" s="22" t="s">
        <v>16</v>
      </c>
      <c r="D194" s="48">
        <v>46066</v>
      </c>
      <c r="E194" s="28">
        <v>46121</v>
      </c>
      <c r="F194" s="30">
        <f t="shared" ref="F194" si="12">E194-D194</f>
        <v>55</v>
      </c>
      <c r="G194" s="25">
        <v>2026</v>
      </c>
      <c r="H194" t="s">
        <v>64</v>
      </c>
      <c r="I194">
        <v>4</v>
      </c>
    </row>
    <row r="195" spans="1:9" x14ac:dyDescent="0.25">
      <c r="A195">
        <v>2309052389</v>
      </c>
      <c r="B195" t="s">
        <v>239</v>
      </c>
      <c r="C195" t="s">
        <v>14</v>
      </c>
      <c r="D195" s="52">
        <v>45693</v>
      </c>
      <c r="E195" s="31">
        <v>46027</v>
      </c>
      <c r="F195">
        <f t="shared" ref="F195:F202" si="13">IF(D195="","",E195-D195)</f>
        <v>334</v>
      </c>
      <c r="G195">
        <v>2026</v>
      </c>
      <c r="H195" t="s">
        <v>43</v>
      </c>
      <c r="I195">
        <v>1</v>
      </c>
    </row>
    <row r="196" spans="1:9" x14ac:dyDescent="0.25">
      <c r="A196">
        <v>2411052775</v>
      </c>
      <c r="B196" t="s">
        <v>240</v>
      </c>
      <c r="C196" t="s">
        <v>17</v>
      </c>
      <c r="D196" s="52">
        <v>45998</v>
      </c>
      <c r="E196" s="31">
        <v>46085</v>
      </c>
      <c r="F196">
        <f t="shared" si="13"/>
        <v>87</v>
      </c>
      <c r="G196">
        <v>2026</v>
      </c>
      <c r="H196" t="s">
        <v>43</v>
      </c>
      <c r="I196">
        <v>3</v>
      </c>
    </row>
    <row r="197" spans="1:9" x14ac:dyDescent="0.25">
      <c r="A197">
        <v>2404052612</v>
      </c>
      <c r="B197" t="s">
        <v>241</v>
      </c>
      <c r="C197" t="s">
        <v>17</v>
      </c>
      <c r="D197" s="52">
        <v>46077</v>
      </c>
      <c r="E197" s="31">
        <v>46108</v>
      </c>
      <c r="F197">
        <f t="shared" si="13"/>
        <v>31</v>
      </c>
      <c r="G197">
        <v>2026</v>
      </c>
      <c r="H197" t="s">
        <v>43</v>
      </c>
      <c r="I197">
        <v>3</v>
      </c>
    </row>
    <row r="198" spans="1:9" x14ac:dyDescent="0.25">
      <c r="A198">
        <v>2404052598</v>
      </c>
      <c r="B198" t="s">
        <v>242</v>
      </c>
      <c r="C198" t="s">
        <v>14</v>
      </c>
      <c r="D198" s="52">
        <v>45936</v>
      </c>
      <c r="E198" s="31">
        <v>46119</v>
      </c>
      <c r="F198">
        <f t="shared" si="13"/>
        <v>183</v>
      </c>
      <c r="G198">
        <v>2026</v>
      </c>
      <c r="H198" t="s">
        <v>64</v>
      </c>
      <c r="I198">
        <v>4</v>
      </c>
    </row>
    <row r="199" spans="1:9" x14ac:dyDescent="0.25">
      <c r="A199">
        <v>2409052709</v>
      </c>
      <c r="B199" t="s">
        <v>243</v>
      </c>
      <c r="C199" t="s">
        <v>14</v>
      </c>
      <c r="D199" s="52">
        <v>45947</v>
      </c>
      <c r="E199" s="31">
        <v>46119</v>
      </c>
      <c r="F199">
        <f t="shared" si="13"/>
        <v>172</v>
      </c>
      <c r="G199">
        <v>2026</v>
      </c>
      <c r="H199" t="s">
        <v>64</v>
      </c>
      <c r="I199">
        <v>4</v>
      </c>
    </row>
    <row r="200" spans="1:9" x14ac:dyDescent="0.25">
      <c r="A200">
        <v>2504052895</v>
      </c>
      <c r="B200" t="s">
        <v>244</v>
      </c>
      <c r="C200" t="s">
        <v>17</v>
      </c>
      <c r="D200" s="52">
        <v>46106</v>
      </c>
      <c r="E200" s="31">
        <v>46122</v>
      </c>
      <c r="F200">
        <f t="shared" si="13"/>
        <v>16</v>
      </c>
      <c r="G200">
        <v>2026</v>
      </c>
      <c r="H200" t="s">
        <v>64</v>
      </c>
      <c r="I200">
        <v>4</v>
      </c>
    </row>
    <row r="201" spans="1:9" x14ac:dyDescent="0.25">
      <c r="A201">
        <v>2404052611</v>
      </c>
      <c r="B201" t="s">
        <v>245</v>
      </c>
      <c r="C201" t="s">
        <v>14</v>
      </c>
      <c r="D201" s="52">
        <v>46100</v>
      </c>
      <c r="E201" s="31">
        <v>46125</v>
      </c>
      <c r="F201">
        <f t="shared" si="13"/>
        <v>25</v>
      </c>
      <c r="G201">
        <v>2026</v>
      </c>
      <c r="H201" t="s">
        <v>64</v>
      </c>
      <c r="I201">
        <v>4</v>
      </c>
    </row>
    <row r="202" spans="1:9" x14ac:dyDescent="0.25">
      <c r="A202">
        <v>2404052594</v>
      </c>
      <c r="B202" t="s">
        <v>246</v>
      </c>
      <c r="C202" t="s">
        <v>14</v>
      </c>
      <c r="D202" s="52">
        <v>46038</v>
      </c>
      <c r="E202" s="31">
        <v>46128</v>
      </c>
      <c r="F202">
        <f t="shared" si="13"/>
        <v>90</v>
      </c>
      <c r="G202">
        <v>2026</v>
      </c>
      <c r="H202" t="s">
        <v>64</v>
      </c>
      <c r="I202">
        <v>4</v>
      </c>
    </row>
    <row r="203" spans="1:9" x14ac:dyDescent="0.25">
      <c r="A203">
        <v>2504052890</v>
      </c>
      <c r="B203" t="s">
        <v>247</v>
      </c>
      <c r="C203" t="s">
        <v>17</v>
      </c>
      <c r="D203" s="52">
        <v>46099</v>
      </c>
      <c r="E203" s="31">
        <v>46128</v>
      </c>
      <c r="F203">
        <f>IF(D203="","",E203-D203)</f>
        <v>29</v>
      </c>
      <c r="G203">
        <v>2026</v>
      </c>
      <c r="H203" t="s">
        <v>64</v>
      </c>
      <c r="I203">
        <v>4</v>
      </c>
    </row>
    <row r="204" spans="1:9" ht="15.75" x14ac:dyDescent="0.25">
      <c r="A204" s="40">
        <v>2309052400</v>
      </c>
      <c r="B204" s="40" t="s">
        <v>282</v>
      </c>
      <c r="C204" s="22" t="s">
        <v>16</v>
      </c>
      <c r="D204" s="48">
        <v>46099</v>
      </c>
      <c r="E204" s="31">
        <v>46149</v>
      </c>
      <c r="F204">
        <f>IF(D204="","",E204-D204)</f>
        <v>50</v>
      </c>
    </row>
    <row r="205" spans="1:9" ht="15.75" x14ac:dyDescent="0.25">
      <c r="A205" s="40">
        <v>2312052476</v>
      </c>
      <c r="B205" s="40" t="s">
        <v>283</v>
      </c>
      <c r="C205" s="27" t="s">
        <v>15</v>
      </c>
      <c r="D205" s="48">
        <v>46114</v>
      </c>
      <c r="E205" s="40" t="s">
        <v>295</v>
      </c>
      <c r="F205">
        <f>IF(D205="","",E205-D205)</f>
        <v>54</v>
      </c>
    </row>
    <row r="206" spans="1:9" ht="15.75" x14ac:dyDescent="0.25">
      <c r="A206" s="40">
        <v>2405052641</v>
      </c>
      <c r="B206" s="40" t="s">
        <v>284</v>
      </c>
      <c r="C206" s="27" t="s">
        <v>15</v>
      </c>
      <c r="D206" s="48">
        <v>46083</v>
      </c>
      <c r="E206" s="40" t="s">
        <v>296</v>
      </c>
      <c r="F206">
        <f t="shared" ref="F206:F226" si="14">IF(D206="","",E206-D206)</f>
        <v>80</v>
      </c>
    </row>
    <row r="207" spans="1:9" ht="15.75" x14ac:dyDescent="0.25">
      <c r="A207" s="40">
        <v>2407052684</v>
      </c>
      <c r="B207" s="40" t="s">
        <v>285</v>
      </c>
      <c r="C207" t="s">
        <v>293</v>
      </c>
      <c r="D207" s="48">
        <v>46006</v>
      </c>
      <c r="E207" s="40" t="s">
        <v>297</v>
      </c>
      <c r="F207">
        <f t="shared" si="14"/>
        <v>148</v>
      </c>
    </row>
    <row r="208" spans="1:9" ht="15.75" x14ac:dyDescent="0.25">
      <c r="A208" s="40">
        <v>2411052773</v>
      </c>
      <c r="B208" s="40" t="s">
        <v>286</v>
      </c>
      <c r="C208" t="s">
        <v>293</v>
      </c>
      <c r="D208" s="48">
        <v>46057</v>
      </c>
      <c r="E208" s="40" t="s">
        <v>297</v>
      </c>
      <c r="F208">
        <f t="shared" si="14"/>
        <v>97</v>
      </c>
    </row>
    <row r="209" spans="1:6" ht="15.75" x14ac:dyDescent="0.25">
      <c r="A209" s="40">
        <v>2503052865</v>
      </c>
      <c r="B209" s="40" t="s">
        <v>287</v>
      </c>
      <c r="C209" s="20" t="s">
        <v>19</v>
      </c>
      <c r="D209" s="48">
        <v>46114</v>
      </c>
      <c r="E209" s="40" t="s">
        <v>294</v>
      </c>
      <c r="F209">
        <f t="shared" si="14"/>
        <v>35</v>
      </c>
    </row>
    <row r="210" spans="1:6" ht="15.75" x14ac:dyDescent="0.25">
      <c r="A210" s="40">
        <v>2507052944</v>
      </c>
      <c r="B210" s="40" t="s">
        <v>288</v>
      </c>
      <c r="C210" t="s">
        <v>293</v>
      </c>
      <c r="D210" s="48">
        <v>46113</v>
      </c>
      <c r="E210" s="40" t="s">
        <v>297</v>
      </c>
      <c r="F210">
        <f t="shared" si="14"/>
        <v>41</v>
      </c>
    </row>
    <row r="211" spans="1:6" ht="15.75" x14ac:dyDescent="0.25">
      <c r="A211" s="40">
        <v>2507052950</v>
      </c>
      <c r="B211" s="40" t="s">
        <v>289</v>
      </c>
      <c r="C211" s="22" t="s">
        <v>16</v>
      </c>
      <c r="D211" s="48">
        <v>46105</v>
      </c>
      <c r="E211" s="40" t="s">
        <v>298</v>
      </c>
      <c r="F211">
        <f t="shared" si="14"/>
        <v>45</v>
      </c>
    </row>
    <row r="212" spans="1:6" ht="30.75" x14ac:dyDescent="0.25">
      <c r="A212" s="40">
        <v>2508052965</v>
      </c>
      <c r="B212" s="40" t="s">
        <v>290</v>
      </c>
      <c r="C212" s="22" t="s">
        <v>16</v>
      </c>
      <c r="D212" s="48">
        <v>46106</v>
      </c>
      <c r="E212" s="40" t="s">
        <v>299</v>
      </c>
      <c r="F212">
        <f t="shared" si="14"/>
        <v>56</v>
      </c>
    </row>
    <row r="213" spans="1:6" ht="15.75" x14ac:dyDescent="0.25">
      <c r="A213" s="40">
        <v>2508052971</v>
      </c>
      <c r="B213" s="40" t="s">
        <v>291</v>
      </c>
      <c r="C213" s="22" t="s">
        <v>16</v>
      </c>
      <c r="D213" s="48">
        <v>46045</v>
      </c>
      <c r="E213" s="40" t="s">
        <v>300</v>
      </c>
      <c r="F213">
        <f t="shared" si="14"/>
        <v>112</v>
      </c>
    </row>
    <row r="214" spans="1:6" ht="15.75" x14ac:dyDescent="0.25">
      <c r="A214" s="40">
        <v>2601053061</v>
      </c>
      <c r="B214" s="40" t="s">
        <v>292</v>
      </c>
      <c r="C214" t="s">
        <v>17</v>
      </c>
      <c r="D214" s="48">
        <v>46114</v>
      </c>
      <c r="E214" s="40" t="s">
        <v>298</v>
      </c>
      <c r="F214">
        <f t="shared" si="14"/>
        <v>36</v>
      </c>
    </row>
    <row r="215" spans="1:6" ht="15.75" x14ac:dyDescent="0.25">
      <c r="A215" s="40" t="s">
        <v>313</v>
      </c>
      <c r="B215" s="40" t="s">
        <v>301</v>
      </c>
      <c r="C215" s="22" t="s">
        <v>16</v>
      </c>
      <c r="D215" s="48">
        <v>46100</v>
      </c>
      <c r="E215" s="40" t="s">
        <v>314</v>
      </c>
      <c r="F215">
        <f t="shared" si="14"/>
        <v>91</v>
      </c>
    </row>
    <row r="216" spans="1:6" ht="30.75" x14ac:dyDescent="0.25">
      <c r="A216" s="40">
        <v>2402052525</v>
      </c>
      <c r="B216" s="40" t="s">
        <v>302</v>
      </c>
      <c r="C216" s="22" t="s">
        <v>16</v>
      </c>
      <c r="D216" s="48">
        <v>46148</v>
      </c>
      <c r="E216" s="40" t="s">
        <v>315</v>
      </c>
      <c r="F216">
        <f t="shared" si="14"/>
        <v>35</v>
      </c>
    </row>
    <row r="217" spans="1:6" ht="15.75" x14ac:dyDescent="0.25">
      <c r="A217" s="40">
        <v>2402052544</v>
      </c>
      <c r="B217" s="40" t="s">
        <v>303</v>
      </c>
      <c r="C217" s="22" t="s">
        <v>16</v>
      </c>
      <c r="D217" s="48">
        <v>46134</v>
      </c>
      <c r="E217" s="40" t="s">
        <v>316</v>
      </c>
      <c r="F217">
        <f t="shared" si="14"/>
        <v>40</v>
      </c>
    </row>
    <row r="218" spans="1:6" ht="30.75" x14ac:dyDescent="0.25">
      <c r="A218" s="40">
        <v>2407052666</v>
      </c>
      <c r="B218" s="40" t="s">
        <v>304</v>
      </c>
      <c r="C218" s="27" t="s">
        <v>15</v>
      </c>
      <c r="D218" s="48">
        <v>46136</v>
      </c>
      <c r="E218" s="40" t="s">
        <v>317</v>
      </c>
      <c r="F218">
        <f t="shared" si="14"/>
        <v>53</v>
      </c>
    </row>
    <row r="219" spans="1:6" ht="30.75" x14ac:dyDescent="0.25">
      <c r="A219" s="40">
        <v>2412052781</v>
      </c>
      <c r="B219" s="40" t="s">
        <v>305</v>
      </c>
      <c r="C219" s="27" t="s">
        <v>15</v>
      </c>
      <c r="D219" s="48">
        <v>46127</v>
      </c>
      <c r="E219" s="40" t="s">
        <v>318</v>
      </c>
      <c r="F219">
        <f t="shared" si="14"/>
        <v>68</v>
      </c>
    </row>
    <row r="220" spans="1:6" ht="15.75" x14ac:dyDescent="0.25">
      <c r="A220" s="40">
        <v>2502052814</v>
      </c>
      <c r="B220" s="40" t="s">
        <v>306</v>
      </c>
      <c r="C220" s="22" t="s">
        <v>16</v>
      </c>
      <c r="D220" s="48">
        <v>46064</v>
      </c>
      <c r="E220" s="40" t="s">
        <v>319</v>
      </c>
      <c r="F220">
        <f t="shared" si="14"/>
        <v>114</v>
      </c>
    </row>
    <row r="221" spans="1:6" ht="15.75" x14ac:dyDescent="0.25">
      <c r="A221" s="40">
        <v>2503052848</v>
      </c>
      <c r="B221" s="40" t="s">
        <v>307</v>
      </c>
      <c r="C221" s="22" t="s">
        <v>16</v>
      </c>
      <c r="D221" s="48">
        <v>46120</v>
      </c>
      <c r="E221" s="40" t="s">
        <v>320</v>
      </c>
      <c r="F221">
        <f t="shared" si="14"/>
        <v>70</v>
      </c>
    </row>
    <row r="222" spans="1:6" ht="15.75" x14ac:dyDescent="0.25">
      <c r="A222" s="40">
        <v>2504052868</v>
      </c>
      <c r="B222" s="40" t="s">
        <v>308</v>
      </c>
      <c r="C222" t="s">
        <v>18</v>
      </c>
      <c r="D222" s="48">
        <v>46154</v>
      </c>
      <c r="E222" s="40" t="s">
        <v>321</v>
      </c>
      <c r="F222">
        <f t="shared" si="14"/>
        <v>38</v>
      </c>
    </row>
    <row r="223" spans="1:6" ht="15.75" x14ac:dyDescent="0.25">
      <c r="A223" s="40">
        <v>2507052957</v>
      </c>
      <c r="B223" s="40" t="s">
        <v>309</v>
      </c>
      <c r="C223" s="22" t="s">
        <v>16</v>
      </c>
      <c r="D223" s="48">
        <v>46091</v>
      </c>
      <c r="E223" s="40" t="s">
        <v>316</v>
      </c>
      <c r="F223">
        <f t="shared" si="14"/>
        <v>83</v>
      </c>
    </row>
    <row r="224" spans="1:6" ht="15.75" x14ac:dyDescent="0.25">
      <c r="A224" s="40">
        <v>2508052970</v>
      </c>
      <c r="B224" s="40" t="s">
        <v>310</v>
      </c>
      <c r="C224" s="22" t="s">
        <v>16</v>
      </c>
      <c r="D224" s="48">
        <v>46057</v>
      </c>
      <c r="E224" s="40" t="s">
        <v>316</v>
      </c>
      <c r="F224">
        <f t="shared" si="14"/>
        <v>117</v>
      </c>
    </row>
    <row r="225" spans="1:6" ht="30.75" x14ac:dyDescent="0.25">
      <c r="A225" s="40">
        <v>2510053001</v>
      </c>
      <c r="B225" s="40" t="s">
        <v>311</v>
      </c>
      <c r="C225" t="s">
        <v>18</v>
      </c>
      <c r="D225" s="48">
        <v>46183</v>
      </c>
      <c r="E225" s="40" t="s">
        <v>322</v>
      </c>
      <c r="F225">
        <f t="shared" si="14"/>
        <v>15</v>
      </c>
    </row>
    <row r="226" spans="1:6" ht="15.75" x14ac:dyDescent="0.25">
      <c r="A226" s="40">
        <v>2602053070</v>
      </c>
      <c r="B226" s="40" t="s">
        <v>312</v>
      </c>
      <c r="C226" s="22" t="s">
        <v>16</v>
      </c>
      <c r="D226" s="48">
        <v>46129</v>
      </c>
      <c r="E226" s="40" t="s">
        <v>323</v>
      </c>
      <c r="F226">
        <f t="shared" si="14"/>
        <v>72</v>
      </c>
    </row>
  </sheetData>
  <autoFilter ref="A1:I500" xr:uid="{00000000-0009-0000-0000-000001000000}"/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2D4A7A"/>
  </sheetPr>
  <dimension ref="A1:E47"/>
  <sheetViews>
    <sheetView topLeftCell="A19" zoomScaleNormal="100" workbookViewId="0">
      <selection activeCell="C46" sqref="C46"/>
    </sheetView>
  </sheetViews>
  <sheetFormatPr baseColWidth="10" defaultColWidth="8.7109375" defaultRowHeight="15" x14ac:dyDescent="0.25"/>
  <cols>
    <col min="1" max="1" width="30" customWidth="1"/>
    <col min="2" max="3" width="18" customWidth="1"/>
    <col min="4" max="7" width="14" customWidth="1"/>
  </cols>
  <sheetData>
    <row r="1" spans="1:5" ht="15" customHeight="1" x14ac:dyDescent="0.25">
      <c r="A1" s="32" t="s">
        <v>248</v>
      </c>
      <c r="B1" s="32" t="s">
        <v>3</v>
      </c>
      <c r="C1" s="32" t="s">
        <v>249</v>
      </c>
      <c r="D1" s="32" t="s">
        <v>250</v>
      </c>
      <c r="E1" s="32" t="s">
        <v>251</v>
      </c>
    </row>
    <row r="2" spans="1:5" ht="15" customHeight="1" x14ac:dyDescent="0.25">
      <c r="A2" s="33" t="s">
        <v>19</v>
      </c>
      <c r="B2" s="33">
        <f>COUNTIF(Rohdaten!C2:C500,A2)</f>
        <v>7</v>
      </c>
      <c r="C2" s="34">
        <f>IFERROR(AVERAGEIF(Rohdaten!C2:C500,A2,Rohdaten!F2:F500),"-")</f>
        <v>41</v>
      </c>
      <c r="D2" s="33">
        <f>IFERROR(_xlfn.MINIFS(Rohdaten!F2:F500,Rohdaten!C2:C500,A2),"-")</f>
        <v>21</v>
      </c>
      <c r="E2" s="33">
        <f>IFERROR(_xlfn.MAXIFS(Rohdaten!F2:F500,Rohdaten!C2:C500,A2),"-")</f>
        <v>56</v>
      </c>
    </row>
    <row r="3" spans="1:5" ht="15" customHeight="1" x14ac:dyDescent="0.25">
      <c r="A3" s="33" t="s">
        <v>18</v>
      </c>
      <c r="B3" s="33">
        <f>COUNTIF(Rohdaten!C2:C500,A3)</f>
        <v>10</v>
      </c>
      <c r="C3" s="34">
        <f>IFERROR(AVERAGEIF(Rohdaten!C2:C500,A3,Rohdaten!F2:F500),"-")</f>
        <v>73</v>
      </c>
      <c r="D3" s="33">
        <f>IFERROR(_xlfn.MINIFS(Rohdaten!F2:F500,Rohdaten!C2:C500,A3),"-")</f>
        <v>15</v>
      </c>
      <c r="E3" s="33">
        <f>IFERROR(_xlfn.MAXIFS(Rohdaten!F2:F500,Rohdaten!C2:C500,A3),"-")</f>
        <v>111</v>
      </c>
    </row>
    <row r="4" spans="1:5" ht="15" customHeight="1" x14ac:dyDescent="0.25">
      <c r="A4" s="33" t="s">
        <v>15</v>
      </c>
      <c r="B4" s="33">
        <f>COUNTIF(Rohdaten!C2:C500,A4)</f>
        <v>63</v>
      </c>
      <c r="C4" s="34">
        <f>IFERROR(AVERAGEIF(Rohdaten!C2:C500,A4,Rohdaten!F2:F500),"-")</f>
        <v>90.142857142857139</v>
      </c>
      <c r="D4" s="33">
        <f>IFERROR(_xlfn.MINIFS(Rohdaten!F2:F500,Rohdaten!C2:C500,A4),"-")</f>
        <v>16</v>
      </c>
      <c r="E4" s="33">
        <f>IFERROR(_xlfn.MAXIFS(Rohdaten!F2:F500,Rohdaten!C2:C500,A4),"-")</f>
        <v>266</v>
      </c>
    </row>
    <row r="5" spans="1:5" ht="15" customHeight="1" x14ac:dyDescent="0.25">
      <c r="A5" s="33" t="s">
        <v>252</v>
      </c>
      <c r="B5" s="33">
        <f>COUNTIF(Rohdaten!C2:C500,A5)</f>
        <v>0</v>
      </c>
      <c r="C5" s="34" t="str">
        <f>IFERROR(AVERAGEIF(Rohdaten!C2:C500,A5,Rohdaten!F2:F500),"-")</f>
        <v>-</v>
      </c>
      <c r="D5" s="33">
        <f>IFERROR(_xlfn.MINIFS(Rohdaten!F2:F500,Rohdaten!C2:C500,A5),"-")</f>
        <v>0</v>
      </c>
      <c r="E5" s="33">
        <f>IFERROR(_xlfn.MAXIFS(Rohdaten!F2:F500,Rohdaten!C2:C500,A5),"-")</f>
        <v>0</v>
      </c>
    </row>
    <row r="6" spans="1:5" ht="15" customHeight="1" x14ac:dyDescent="0.25">
      <c r="A6" s="33" t="s">
        <v>16</v>
      </c>
      <c r="B6" s="33">
        <f>COUNTIF(Rohdaten!C2:C500,A6)</f>
        <v>51</v>
      </c>
      <c r="C6" s="34">
        <f>IFERROR(AVERAGEIF(Rohdaten!C2:C500,A6,Rohdaten!F2:F500),"-")</f>
        <v>79.784313725490193</v>
      </c>
      <c r="D6" s="33">
        <f>IFERROR(_xlfn.MINIFS(Rohdaten!F2:F500,Rohdaten!C2:C500,A6),"-")</f>
        <v>14</v>
      </c>
      <c r="E6" s="33">
        <f>IFERROR(_xlfn.MAXIFS(Rohdaten!F2:F500,Rohdaten!C2:C500,A6),"-")</f>
        <v>181</v>
      </c>
    </row>
    <row r="7" spans="1:5" ht="15" customHeight="1" x14ac:dyDescent="0.25">
      <c r="A7" s="33" t="s">
        <v>107</v>
      </c>
      <c r="B7" s="33">
        <f>COUNTIF(Rohdaten!C2:C500,A7)</f>
        <v>2</v>
      </c>
      <c r="C7" s="34">
        <f>IFERROR(AVERAGEIF(Rohdaten!C2:C500,A7,Rohdaten!F2:F500),"-")</f>
        <v>99</v>
      </c>
      <c r="D7" s="33">
        <f>IFERROR(_xlfn.MINIFS(Rohdaten!F2:F500,Rohdaten!C2:C500,A7),"-")</f>
        <v>59</v>
      </c>
      <c r="E7" s="33">
        <f>IFERROR(_xlfn.MAXIFS(Rohdaten!F2:F500,Rohdaten!C2:C500,A7),"-")</f>
        <v>139</v>
      </c>
    </row>
    <row r="8" spans="1:5" ht="15" customHeight="1" x14ac:dyDescent="0.25">
      <c r="A8" s="33" t="s">
        <v>14</v>
      </c>
      <c r="B8" s="33">
        <f>COUNTIF(Rohdaten!C2:C500,A8)</f>
        <v>65</v>
      </c>
      <c r="C8" s="34">
        <f>IFERROR(AVERAGEIF(Rohdaten!C2:C500,A8,Rohdaten!F2:F500),"-")</f>
        <v>82.646153846153851</v>
      </c>
      <c r="D8" s="33">
        <f>IFERROR(_xlfn.MINIFS(Rohdaten!F2:F500,Rohdaten!C2:C500,A8),"-")</f>
        <v>14</v>
      </c>
      <c r="E8" s="33">
        <f>IFERROR(_xlfn.MAXIFS(Rohdaten!F2:F500,Rohdaten!C2:C500,A8),"-")</f>
        <v>334</v>
      </c>
    </row>
    <row r="9" spans="1:5" ht="15" customHeight="1" x14ac:dyDescent="0.25">
      <c r="A9" s="33" t="s">
        <v>253</v>
      </c>
      <c r="B9" s="33">
        <f>COUNTIF(Rohdaten!C2:C500,A9)</f>
        <v>0</v>
      </c>
      <c r="C9" s="34" t="str">
        <f>IFERROR(AVERAGEIF(Rohdaten!C2:C500,A9,Rohdaten!F2:F500),"-")</f>
        <v>-</v>
      </c>
      <c r="D9" s="33">
        <f>IFERROR(_xlfn.MINIFS(Rohdaten!F2:F500,Rohdaten!C2:C500,A9),"-")</f>
        <v>0</v>
      </c>
      <c r="E9" s="33">
        <f>IFERROR(_xlfn.MAXIFS(Rohdaten!F2:F500,Rohdaten!C2:C500,A9),"-")</f>
        <v>0</v>
      </c>
    </row>
    <row r="10" spans="1:5" ht="15" customHeight="1" x14ac:dyDescent="0.25">
      <c r="A10" s="33" t="s">
        <v>254</v>
      </c>
      <c r="B10" s="33">
        <f>COUNTIF(Rohdaten!C2:C500,A10)</f>
        <v>0</v>
      </c>
      <c r="C10" s="34" t="str">
        <f>IFERROR(AVERAGEIF(Rohdaten!C2:C500,A10,Rohdaten!F2:F500),"-")</f>
        <v>-</v>
      </c>
      <c r="D10" s="33">
        <f>IFERROR(_xlfn.MINIFS(Rohdaten!F2:F500,Rohdaten!C2:C500,A10),"-")</f>
        <v>0</v>
      </c>
      <c r="E10" s="33">
        <f>IFERROR(_xlfn.MAXIFS(Rohdaten!F2:F500,Rohdaten!C2:C500,A10),"-")</f>
        <v>0</v>
      </c>
    </row>
    <row r="11" spans="1:5" ht="15" customHeight="1" x14ac:dyDescent="0.25">
      <c r="A11" s="33" t="s">
        <v>176</v>
      </c>
      <c r="B11" s="33">
        <f>COUNTIF(Rohdaten!C2:C500,A11)</f>
        <v>1</v>
      </c>
      <c r="C11" s="34">
        <f>IFERROR(AVERAGEIF(Rohdaten!C2:C500,A11,Rohdaten!F2:F500),"-")</f>
        <v>338</v>
      </c>
      <c r="D11" s="33">
        <f>IFERROR(_xlfn.MINIFS(Rohdaten!F2:F500,Rohdaten!C2:C500,A11),"-")</f>
        <v>338</v>
      </c>
      <c r="E11" s="33">
        <f>IFERROR(_xlfn.MAXIFS(Rohdaten!F2:F500,Rohdaten!C2:C500,A11),"-")</f>
        <v>338</v>
      </c>
    </row>
    <row r="12" spans="1:5" ht="15" customHeight="1" x14ac:dyDescent="0.25">
      <c r="A12" s="33"/>
      <c r="B12" s="33"/>
      <c r="C12" s="34"/>
      <c r="D12" s="33"/>
      <c r="E12" s="33"/>
    </row>
    <row r="14" spans="1:5" ht="15" customHeight="1" x14ac:dyDescent="0.25">
      <c r="A14" s="32" t="s">
        <v>255</v>
      </c>
    </row>
    <row r="15" spans="1:5" ht="15" customHeight="1" x14ac:dyDescent="0.25">
      <c r="A15" s="35">
        <v>2025</v>
      </c>
    </row>
    <row r="16" spans="1:5" ht="15" customHeight="1" x14ac:dyDescent="0.25">
      <c r="A16" s="35">
        <v>2026</v>
      </c>
    </row>
    <row r="19" spans="1:5" ht="15" customHeight="1" x14ac:dyDescent="0.25">
      <c r="A19" s="32" t="s">
        <v>256</v>
      </c>
      <c r="B19" s="36" t="s">
        <v>257</v>
      </c>
      <c r="C19" s="36" t="s">
        <v>258</v>
      </c>
      <c r="D19" s="36" t="s">
        <v>259</v>
      </c>
      <c r="E19" s="36" t="s">
        <v>260</v>
      </c>
    </row>
    <row r="20" spans="1:5" ht="15" customHeight="1" x14ac:dyDescent="0.25">
      <c r="A20" s="33" t="s">
        <v>19</v>
      </c>
      <c r="B20" s="34">
        <f>IFERROR(AVERAGEIFS(Rohdaten!F2:F500,Rohdaten!C2:C500,A20,Rohdaten!G2:G500,2025),"-")</f>
        <v>53.333333333333336</v>
      </c>
      <c r="C20" s="33">
        <f>COUNTIFS(Rohdaten!C2:C500,A20,Rohdaten!G2:G500,2025)</f>
        <v>3</v>
      </c>
      <c r="D20" s="34">
        <f>IFERROR(AVERAGEIFS(Rohdaten!F2:F500,Rohdaten!C2:C500,A20,Rohdaten!G2:G500,2026),"-")</f>
        <v>30.666666666666668</v>
      </c>
      <c r="E20" s="33">
        <f>COUNTIFS(Rohdaten!C2:C500,A20,Rohdaten!G2:G500,2026)</f>
        <v>3</v>
      </c>
    </row>
    <row r="21" spans="1:5" ht="15" customHeight="1" x14ac:dyDescent="0.25">
      <c r="A21" s="33" t="s">
        <v>18</v>
      </c>
      <c r="B21" s="34">
        <f>IFERROR(AVERAGEIFS(Rohdaten!F2:F500,Rohdaten!C2:C500,A21,Rohdaten!G2:G500,2025),"-")</f>
        <v>91.5</v>
      </c>
      <c r="C21" s="33">
        <f>COUNTIFS(Rohdaten!C2:C500,A21,Rohdaten!G2:G500,2025)</f>
        <v>2</v>
      </c>
      <c r="D21" s="34">
        <f>IFERROR(AVERAGEIFS(Rohdaten!F2:F500,Rohdaten!C2:C500,A21,Rohdaten!G2:G500,2026),"-")</f>
        <v>82.333333333333329</v>
      </c>
      <c r="E21" s="33">
        <f>COUNTIFS(Rohdaten!C2:C500,A21,Rohdaten!G2:G500,2026)</f>
        <v>6</v>
      </c>
    </row>
    <row r="22" spans="1:5" ht="15" customHeight="1" x14ac:dyDescent="0.25">
      <c r="A22" s="33" t="s">
        <v>15</v>
      </c>
      <c r="B22" s="34">
        <f>IFERROR(AVERAGEIFS(Rohdaten!F2:F500,Rohdaten!C2:C500,A22,Rohdaten!G2:G500,2025),"-")</f>
        <v>102.95121951219512</v>
      </c>
      <c r="C22" s="33">
        <f>COUNTIFS(Rohdaten!C2:C500,A22,Rohdaten!G2:G500,2025)</f>
        <v>41</v>
      </c>
      <c r="D22" s="34">
        <f>IFERROR(AVERAGEIFS(Rohdaten!F2:F500,Rohdaten!C2:C500,A22,Rohdaten!G2:G500,2026),"-")</f>
        <v>66.833333333333329</v>
      </c>
      <c r="E22" s="33">
        <f>COUNTIFS(Rohdaten!C2:C500,A22,Rohdaten!G2:G500,2026)</f>
        <v>18</v>
      </c>
    </row>
    <row r="23" spans="1:5" ht="15" customHeight="1" x14ac:dyDescent="0.25">
      <c r="A23" s="33" t="s">
        <v>252</v>
      </c>
      <c r="B23" s="34" t="str">
        <f>IFERROR(AVERAGEIFS(Rohdaten!F2:F500,Rohdaten!C2:C500,A23,Rohdaten!G2:G500,2025),"-")</f>
        <v>-</v>
      </c>
      <c r="C23" s="33">
        <f>COUNTIFS(Rohdaten!C2:C500,A23,Rohdaten!G2:G500,2025)</f>
        <v>0</v>
      </c>
      <c r="D23" s="34" t="str">
        <f>IFERROR(AVERAGEIFS(Rohdaten!F2:F500,Rohdaten!C2:C500,A23,Rohdaten!G2:G500,2026),"-")</f>
        <v>-</v>
      </c>
      <c r="E23" s="33">
        <f>COUNTIFS(Rohdaten!C2:C500,A23,Rohdaten!G2:G500,2026)</f>
        <v>0</v>
      </c>
    </row>
    <row r="24" spans="1:5" ht="15" customHeight="1" x14ac:dyDescent="0.25">
      <c r="A24" s="33" t="s">
        <v>16</v>
      </c>
      <c r="B24" s="34">
        <f>IFERROR(AVERAGEIFS(Rohdaten!F2:F500,Rohdaten!C2:C500,A24,Rohdaten!G2:G500,2025),"-")</f>
        <v>84.24</v>
      </c>
      <c r="C24" s="33">
        <f>COUNTIFS(Rohdaten!C2:C500,A24,Rohdaten!G2:G500,2025)</f>
        <v>25</v>
      </c>
      <c r="D24" s="34">
        <f>IFERROR(AVERAGEIFS(Rohdaten!F2:F500,Rohdaten!C2:C500,A24,Rohdaten!G2:G500,2026),"-")</f>
        <v>77</v>
      </c>
      <c r="E24" s="33">
        <f>COUNTIFS(Rohdaten!C2:C500,A24,Rohdaten!G2:G500,2026)</f>
        <v>14</v>
      </c>
    </row>
    <row r="25" spans="1:5" ht="15" customHeight="1" x14ac:dyDescent="0.25">
      <c r="A25" s="33" t="s">
        <v>107</v>
      </c>
      <c r="B25" s="34">
        <f>IFERROR(AVERAGEIFS(Rohdaten!F2:F500,Rohdaten!C2:C500,A25,Rohdaten!G2:G500,2025),"-")</f>
        <v>139</v>
      </c>
      <c r="C25" s="33">
        <f>COUNTIFS(Rohdaten!C2:C500,A25,Rohdaten!G2:G500,2025)</f>
        <v>1</v>
      </c>
      <c r="D25" s="34">
        <f>IFERROR(AVERAGEIFS(Rohdaten!F2:F500,Rohdaten!C2:C500,A25,Rohdaten!G2:G500,2026),"-")</f>
        <v>59</v>
      </c>
      <c r="E25" s="33">
        <f>COUNTIFS(Rohdaten!C2:C500,A25,Rohdaten!G2:G500,2026)</f>
        <v>1</v>
      </c>
    </row>
    <row r="26" spans="1:5" ht="15" customHeight="1" x14ac:dyDescent="0.25">
      <c r="A26" s="33" t="s">
        <v>14</v>
      </c>
      <c r="B26" s="34">
        <f>IFERROR(AVERAGEIFS(Rohdaten!F2:F500,Rohdaten!C2:C500,A26,Rohdaten!G2:G500,2025),"-")</f>
        <v>69.470588235294116</v>
      </c>
      <c r="C26" s="33">
        <f>COUNTIFS(Rohdaten!C2:C500,A26,Rohdaten!G2:G500,2025)</f>
        <v>51</v>
      </c>
      <c r="D26" s="34">
        <f>IFERROR(AVERAGEIFS(Rohdaten!F2:F500,Rohdaten!C2:C500,A26,Rohdaten!G2:G500,2026),"-")</f>
        <v>130.64285714285714</v>
      </c>
      <c r="E26" s="33">
        <f>COUNTIFS(Rohdaten!C2:C500,A26,Rohdaten!G2:G500,2026)</f>
        <v>14</v>
      </c>
    </row>
    <row r="27" spans="1:5" ht="15" customHeight="1" x14ac:dyDescent="0.25">
      <c r="A27" s="33" t="s">
        <v>253</v>
      </c>
      <c r="B27" s="34" t="str">
        <f>IFERROR(AVERAGEIFS(Rohdaten!F2:F500,Rohdaten!C2:C500,A27,Rohdaten!G2:G500,2025),"-")</f>
        <v>-</v>
      </c>
      <c r="C27" s="33">
        <f>COUNTIFS(Rohdaten!C2:C500,A27,Rohdaten!G2:G500,2025)</f>
        <v>0</v>
      </c>
      <c r="D27" s="34" t="str">
        <f>IFERROR(AVERAGEIFS(Rohdaten!F2:F500,Rohdaten!C2:C500,A27,Rohdaten!G2:G500,2026),"-")</f>
        <v>-</v>
      </c>
      <c r="E27" s="33">
        <f>COUNTIFS(Rohdaten!C2:C500,A27,Rohdaten!G2:G500,2026)</f>
        <v>0</v>
      </c>
    </row>
    <row r="28" spans="1:5" ht="15" customHeight="1" x14ac:dyDescent="0.25">
      <c r="A28" s="33" t="s">
        <v>254</v>
      </c>
      <c r="B28" s="34" t="str">
        <f>IFERROR(AVERAGEIFS(Rohdaten!F2:F500,Rohdaten!C2:C500,A28,Rohdaten!G2:G500,2025),"-")</f>
        <v>-</v>
      </c>
      <c r="C28" s="33">
        <f>COUNTIFS(Rohdaten!C2:C500,A28,Rohdaten!G2:G500,2025)</f>
        <v>0</v>
      </c>
      <c r="D28" s="34" t="str">
        <f>IFERROR(AVERAGEIFS(Rohdaten!F2:F500,Rohdaten!C2:C500,A28,Rohdaten!G2:G500,2026),"-")</f>
        <v>-</v>
      </c>
      <c r="E28" s="33">
        <f>COUNTIFS(Rohdaten!C2:C500,A28,Rohdaten!G2:G500,2026)</f>
        <v>0</v>
      </c>
    </row>
    <row r="29" spans="1:5" ht="15" customHeight="1" x14ac:dyDescent="0.25">
      <c r="A29" s="33" t="s">
        <v>176</v>
      </c>
      <c r="B29" s="34">
        <f>IFERROR(AVERAGEIFS(Rohdaten!F2:F500,Rohdaten!C2:C500,A29,Rohdaten!G2:G500,2025),"-")</f>
        <v>338</v>
      </c>
      <c r="C29" s="33">
        <f>COUNTIFS(Rohdaten!C2:C500,A29,Rohdaten!G2:G500,2025)</f>
        <v>1</v>
      </c>
      <c r="D29" s="34" t="str">
        <f>IFERROR(AVERAGEIFS(Rohdaten!F2:F500,Rohdaten!C2:C500,A29,Rohdaten!G2:G500,2026),"-")</f>
        <v>-</v>
      </c>
      <c r="E29" s="33">
        <f>COUNTIFS(Rohdaten!C2:C500,A29,Rohdaten!G2:G500,2026)</f>
        <v>0</v>
      </c>
    </row>
    <row r="30" spans="1:5" ht="15" customHeight="1" x14ac:dyDescent="0.25">
      <c r="A30" s="37" t="s">
        <v>261</v>
      </c>
      <c r="B30" s="38">
        <f>IFERROR(AVERAGEIF(Rohdaten!G2:G500,2025,Rohdaten!F2:F500),"-")</f>
        <v>87.40425531914893</v>
      </c>
      <c r="C30" s="37">
        <f>COUNTIF(Rohdaten!G2:G500,2025)</f>
        <v>141</v>
      </c>
      <c r="D30" s="38">
        <f>IFERROR(AVERAGEIF(Rohdaten!G2:G500,2026,Rohdaten!F2:F500),"-")</f>
        <v>82.819672131147541</v>
      </c>
      <c r="E30" s="37">
        <f>COUNTIF(Rohdaten!G2:G500,2026)</f>
        <v>61</v>
      </c>
    </row>
    <row r="33" spans="1:3" ht="15" customHeight="1" x14ac:dyDescent="0.25">
      <c r="A33" s="32" t="s">
        <v>262</v>
      </c>
      <c r="B33" s="36" t="s">
        <v>11</v>
      </c>
      <c r="C33" s="36" t="s">
        <v>3</v>
      </c>
    </row>
    <row r="34" spans="1:3" ht="15" customHeight="1" x14ac:dyDescent="0.25">
      <c r="A34" s="39">
        <v>45658</v>
      </c>
      <c r="B34" s="34">
        <f>IFERROR(AVERAGEIFS(Rohdaten!F2:F500,Rohdaten!E2:E500,"&gt;="&amp;A34,Rohdaten!E2:E500,"&lt;"&amp;DATE(YEAR(A34),MONTH(A34)+1,1)),"-")</f>
        <v>85.25</v>
      </c>
      <c r="C34" s="33">
        <f>COUNTIFS(Rohdaten!E2:E500,"&gt;="&amp;A34,Rohdaten!E2:E500,"&lt;"&amp;DATE(YEAR(A34),MONTH(A34)+1,1))</f>
        <v>4</v>
      </c>
    </row>
    <row r="35" spans="1:3" ht="15" customHeight="1" x14ac:dyDescent="0.25">
      <c r="A35" s="39">
        <v>45689</v>
      </c>
      <c r="B35" s="34">
        <f>IFERROR(AVERAGEIFS(Rohdaten!F2:F500,Rohdaten!E2:E500,"&gt;="&amp;A35,Rohdaten!E2:E500,"&lt;"&amp;DATE(YEAR(A35),MONTH(A35)+1,1)),"-")</f>
        <v>67.461538461538467</v>
      </c>
      <c r="C35" s="33">
        <f>COUNTIFS(Rohdaten!E2:E500,"&gt;="&amp;A35,Rohdaten!E2:E500,"&lt;"&amp;DATE(YEAR(A35),MONTH(A35)+1,1))</f>
        <v>13</v>
      </c>
    </row>
    <row r="36" spans="1:3" ht="15" customHeight="1" x14ac:dyDescent="0.25">
      <c r="A36" s="39">
        <v>45717</v>
      </c>
      <c r="B36" s="34">
        <f>IFERROR(AVERAGEIFS(Rohdaten!F2:F500,Rohdaten!E2:E500,"&gt;="&amp;A36,Rohdaten!E2:E500,"&lt;"&amp;DATE(YEAR(A36),MONTH(A36)+1,1)),"-")</f>
        <v>78.75</v>
      </c>
      <c r="C36" s="33">
        <f>COUNTIFS(Rohdaten!E2:E500,"&gt;="&amp;A36,Rohdaten!E2:E500,"&lt;"&amp;DATE(YEAR(A36),MONTH(A36)+1,1))</f>
        <v>8</v>
      </c>
    </row>
    <row r="37" spans="1:3" ht="15" customHeight="1" x14ac:dyDescent="0.25">
      <c r="A37" s="39">
        <v>45748</v>
      </c>
      <c r="B37" s="34">
        <f>IFERROR(AVERAGEIFS(Rohdaten!F2:F500,Rohdaten!E2:E500,"&gt;="&amp;A37,Rohdaten!E2:E500,"&lt;"&amp;DATE(YEAR(A37),MONTH(A37)+1,1)),"-")</f>
        <v>63.454545454545453</v>
      </c>
      <c r="C37" s="33">
        <f>COUNTIFS(Rohdaten!E2:E500,"&gt;="&amp;A37,Rohdaten!E2:E500,"&lt;"&amp;DATE(YEAR(A37),MONTH(A37)+1,1))</f>
        <v>11</v>
      </c>
    </row>
    <row r="38" spans="1:3" ht="15" customHeight="1" x14ac:dyDescent="0.25">
      <c r="A38" s="39">
        <v>45778</v>
      </c>
      <c r="B38" s="34">
        <f>IFERROR(AVERAGEIFS(Rohdaten!F2:F500,Rohdaten!E2:E500,"&gt;="&amp;A38,Rohdaten!E2:E500,"&lt;"&amp;DATE(YEAR(A38),MONTH(A38)+1,1)),"-")</f>
        <v>91.818181818181813</v>
      </c>
      <c r="C38" s="33">
        <f>COUNTIFS(Rohdaten!E2:E500,"&gt;="&amp;A38,Rohdaten!E2:E500,"&lt;"&amp;DATE(YEAR(A38),MONTH(A38)+1,1))</f>
        <v>11</v>
      </c>
    </row>
    <row r="39" spans="1:3" ht="15" customHeight="1" x14ac:dyDescent="0.25">
      <c r="A39" s="39">
        <v>45809</v>
      </c>
      <c r="B39" s="34">
        <f>IFERROR(AVERAGEIFS(Rohdaten!F2:F500,Rohdaten!E2:E500,"&gt;="&amp;A39,Rohdaten!E2:E500,"&lt;"&amp;DATE(YEAR(A39),MONTH(A39)+1,1)),"-")</f>
        <v>135</v>
      </c>
      <c r="C39" s="33">
        <f>COUNTIFS(Rohdaten!E2:E500,"&gt;="&amp;A39,Rohdaten!E2:E500,"&lt;"&amp;DATE(YEAR(A39),MONTH(A39)+1,1))</f>
        <v>6</v>
      </c>
    </row>
    <row r="40" spans="1:3" ht="15" customHeight="1" x14ac:dyDescent="0.25">
      <c r="A40" s="39">
        <v>45839</v>
      </c>
      <c r="B40" s="34">
        <f>IFERROR(AVERAGEIFS(Rohdaten!F2:F500,Rohdaten!E2:E500,"&gt;="&amp;A40,Rohdaten!E2:E500,"&lt;"&amp;DATE(YEAR(A40),MONTH(A40)+1,1)),"-")</f>
        <v>70.555555555555557</v>
      </c>
      <c r="C40" s="33">
        <f>COUNTIFS(Rohdaten!E2:E500,"&gt;="&amp;A40,Rohdaten!E2:E500,"&lt;"&amp;DATE(YEAR(A40),MONTH(A40)+1,1))</f>
        <v>9</v>
      </c>
    </row>
    <row r="41" spans="1:3" ht="15" customHeight="1" x14ac:dyDescent="0.25">
      <c r="A41" s="39">
        <v>45870</v>
      </c>
      <c r="B41" s="34">
        <f>IFERROR(AVERAGEIFS(Rohdaten!F2:F500,Rohdaten!E2:E500,"&gt;="&amp;A41,Rohdaten!E2:E500,"&lt;"&amp;DATE(YEAR(A41),MONTH(A41)+1,1)),"-")</f>
        <v>78</v>
      </c>
      <c r="C41" s="33">
        <f>COUNTIFS(Rohdaten!E2:E500,"&gt;="&amp;A41,Rohdaten!E2:E500,"&lt;"&amp;DATE(YEAR(A41),MONTH(A41)+1,1))</f>
        <v>6</v>
      </c>
    </row>
    <row r="42" spans="1:3" ht="15" customHeight="1" x14ac:dyDescent="0.25">
      <c r="A42" s="39">
        <v>45901</v>
      </c>
      <c r="B42" s="34">
        <f>IFERROR(AVERAGEIFS(Rohdaten!F2:F500,Rohdaten!E2:E500,"&gt;="&amp;A42,Rohdaten!E2:E500,"&lt;"&amp;DATE(YEAR(A42),MONTH(A42)+1,1)),"-")</f>
        <v>108.27777777777777</v>
      </c>
      <c r="C42" s="33">
        <f>COUNTIFS(Rohdaten!E2:E500,"&gt;="&amp;A42,Rohdaten!E2:E500,"&lt;"&amp;DATE(YEAR(A42),MONTH(A42)+1,1))</f>
        <v>18</v>
      </c>
    </row>
    <row r="43" spans="1:3" ht="15" customHeight="1" x14ac:dyDescent="0.25">
      <c r="A43" s="39">
        <v>45931</v>
      </c>
      <c r="B43" s="34">
        <f>IFERROR(AVERAGEIFS(Rohdaten!F2:F500,Rohdaten!E2:E500,"&gt;="&amp;A43,Rohdaten!E2:E500,"&lt;"&amp;DATE(YEAR(A43),MONTH(A43)+1,1)),"-")</f>
        <v>87.086956521739125</v>
      </c>
      <c r="C43" s="33">
        <f>COUNTIFS(Rohdaten!E2:E500,"&gt;="&amp;A43,Rohdaten!E2:E500,"&lt;"&amp;DATE(YEAR(A43),MONTH(A43)+1,1))</f>
        <v>23</v>
      </c>
    </row>
    <row r="44" spans="1:3" ht="15" customHeight="1" x14ac:dyDescent="0.25">
      <c r="A44" s="39">
        <v>45962</v>
      </c>
      <c r="B44" s="34">
        <f>IFERROR(AVERAGEIFS(Rohdaten!F2:F500,Rohdaten!E2:E500,"&gt;="&amp;A44,Rohdaten!E2:E500,"&lt;"&amp;DATE(YEAR(A44),MONTH(A44)+1,1)),"-")</f>
        <v>102.22727272727273</v>
      </c>
      <c r="C44" s="33">
        <f>COUNTIFS(Rohdaten!E2:E500,"&gt;="&amp;A44,Rohdaten!E2:E500,"&lt;"&amp;DATE(YEAR(A44),MONTH(A44)+1,1))</f>
        <v>22</v>
      </c>
    </row>
    <row r="45" spans="1:3" ht="15" customHeight="1" x14ac:dyDescent="0.25">
      <c r="A45" s="39">
        <v>45992</v>
      </c>
      <c r="B45" s="34">
        <f>IFERROR(AVERAGEIFS(Rohdaten!F2:F500,Rohdaten!E2:E500,"&gt;="&amp;A45,Rohdaten!E2:E500,"&lt;"&amp;DATE(YEAR(A45),MONTH(A45)+1,1)),"-")</f>
        <v>65.400000000000006</v>
      </c>
      <c r="C45" s="33">
        <f>COUNTIFS(Rohdaten!E2:E500,"&gt;="&amp;A45,Rohdaten!E2:E500,"&lt;"&amp;DATE(YEAR(A45),MONTH(A45)+1,1))</f>
        <v>10</v>
      </c>
    </row>
    <row r="46" spans="1:3" ht="15" customHeight="1" x14ac:dyDescent="0.25">
      <c r="A46" s="39">
        <v>46023</v>
      </c>
      <c r="B46" s="34">
        <f>IFERROR(AVERAGEIFS(Rohdaten!F2:F500,Rohdaten!E2:E500,"&gt;="&amp;A46,Rohdaten!E2:E500,"&lt;"&amp;DATE(YEAR(A46),MONTH(A46)+1,1)),"-")</f>
        <v>215.5</v>
      </c>
      <c r="C46" s="33">
        <f>COUNTIFS(Rohdaten!E2:E500,"&gt;="&amp;A46,Rohdaten!E2:E500,"&lt;"&amp;DATE(YEAR(A46),MONTH(A46)+1,1))</f>
        <v>2</v>
      </c>
    </row>
    <row r="47" spans="1:3" ht="15" customHeight="1" x14ac:dyDescent="0.25">
      <c r="A47" s="39">
        <v>46054</v>
      </c>
      <c r="B47" s="34">
        <f>IFERROR(AVERAGEIFS(Rohdaten!F2:F500,Rohdaten!E2:E500,"&gt;="&amp;A47,Rohdaten!E2:E500,"&lt;"&amp;DATE(YEAR(A47),MONTH(A47)+1,1)),"-")</f>
        <v>94.111111111111114</v>
      </c>
      <c r="C47" s="33">
        <f>COUNTIFS(Rohdaten!E2:E500,"&gt;="&amp;A47,Rohdaten!E2:E500,"&lt;"&amp;DATE(YEAR(A47),MONTH(A47)+1,1))</f>
        <v>18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70AD47"/>
  </sheetPr>
  <dimension ref="B2:L25"/>
  <sheetViews>
    <sheetView showGridLines="0" zoomScaleNormal="100" workbookViewId="0"/>
  </sheetViews>
  <sheetFormatPr baseColWidth="10" defaultColWidth="8.7109375" defaultRowHeight="15" x14ac:dyDescent="0.25"/>
  <cols>
    <col min="1" max="1" width="3" customWidth="1"/>
    <col min="2" max="2" width="100" customWidth="1"/>
  </cols>
  <sheetData>
    <row r="2" spans="2:12" ht="17.25" customHeight="1" x14ac:dyDescent="0.25">
      <c r="B2" s="44" t="s">
        <v>263</v>
      </c>
      <c r="C2" s="44"/>
      <c r="D2" s="44"/>
      <c r="E2" s="44"/>
      <c r="F2" s="44"/>
      <c r="G2" s="44"/>
      <c r="H2" s="44"/>
      <c r="I2" s="44"/>
      <c r="J2" s="44"/>
      <c r="K2" s="44"/>
      <c r="L2" s="44"/>
    </row>
    <row r="3" spans="2:12" ht="15" customHeight="1" x14ac:dyDescent="0.25">
      <c r="B3" s="45"/>
      <c r="C3" s="45"/>
      <c r="D3" s="45"/>
      <c r="E3" s="45"/>
      <c r="F3" s="45"/>
      <c r="G3" s="45"/>
      <c r="H3" s="45"/>
      <c r="I3" s="45"/>
      <c r="J3" s="45"/>
      <c r="K3" s="45"/>
      <c r="L3" s="45"/>
    </row>
    <row r="4" spans="2:12" ht="15" customHeight="1" x14ac:dyDescent="0.25">
      <c r="B4" s="46" t="s">
        <v>264</v>
      </c>
      <c r="C4" s="46"/>
      <c r="D4" s="46"/>
      <c r="E4" s="46"/>
      <c r="F4" s="46"/>
      <c r="G4" s="46"/>
      <c r="H4" s="46"/>
      <c r="I4" s="46"/>
      <c r="J4" s="46"/>
      <c r="K4" s="46"/>
      <c r="L4" s="46"/>
    </row>
    <row r="5" spans="2:12" ht="15" customHeight="1" x14ac:dyDescent="0.25">
      <c r="B5" s="45" t="s">
        <v>265</v>
      </c>
      <c r="C5" s="45"/>
      <c r="D5" s="45"/>
      <c r="E5" s="45"/>
      <c r="F5" s="45"/>
      <c r="G5" s="45"/>
      <c r="H5" s="45"/>
      <c r="I5" s="45"/>
      <c r="J5" s="45"/>
      <c r="K5" s="45"/>
      <c r="L5" s="45"/>
    </row>
    <row r="6" spans="2:12" ht="15" customHeight="1" x14ac:dyDescent="0.25">
      <c r="B6" s="45" t="s">
        <v>266</v>
      </c>
      <c r="C6" s="45"/>
      <c r="D6" s="45"/>
      <c r="E6" s="45"/>
      <c r="F6" s="45"/>
      <c r="G6" s="45"/>
      <c r="H6" s="45"/>
      <c r="I6" s="45"/>
      <c r="J6" s="45"/>
      <c r="K6" s="45"/>
      <c r="L6" s="45"/>
    </row>
    <row r="7" spans="2:12" ht="15" customHeight="1" x14ac:dyDescent="0.25">
      <c r="B7" s="45" t="s">
        <v>267</v>
      </c>
      <c r="C7" s="45"/>
      <c r="D7" s="45"/>
      <c r="E7" s="45"/>
      <c r="F7" s="45"/>
      <c r="G7" s="45"/>
      <c r="H7" s="45"/>
      <c r="I7" s="45"/>
      <c r="J7" s="45"/>
      <c r="K7" s="45"/>
      <c r="L7" s="45"/>
    </row>
    <row r="8" spans="2:12" ht="15" customHeight="1" x14ac:dyDescent="0.25">
      <c r="B8" s="45" t="s">
        <v>268</v>
      </c>
      <c r="C8" s="45"/>
      <c r="D8" s="45"/>
      <c r="E8" s="45"/>
      <c r="F8" s="45"/>
      <c r="G8" s="45"/>
      <c r="H8" s="45"/>
      <c r="I8" s="45"/>
      <c r="J8" s="45"/>
      <c r="K8" s="45"/>
      <c r="L8" s="45"/>
    </row>
    <row r="9" spans="2:12" ht="15" customHeight="1" x14ac:dyDescent="0.25">
      <c r="B9" s="45"/>
      <c r="C9" s="45"/>
      <c r="D9" s="45"/>
      <c r="E9" s="45"/>
      <c r="F9" s="45"/>
      <c r="G9" s="45"/>
      <c r="H9" s="45"/>
      <c r="I9" s="45"/>
      <c r="J9" s="45"/>
      <c r="K9" s="45"/>
      <c r="L9" s="45"/>
    </row>
    <row r="10" spans="2:12" ht="15" customHeight="1" x14ac:dyDescent="0.25">
      <c r="B10" s="46" t="s">
        <v>269</v>
      </c>
      <c r="C10" s="46"/>
      <c r="D10" s="46"/>
      <c r="E10" s="46"/>
      <c r="F10" s="46"/>
      <c r="G10" s="46"/>
      <c r="H10" s="46"/>
      <c r="I10" s="46"/>
      <c r="J10" s="46"/>
      <c r="K10" s="46"/>
      <c r="L10" s="46"/>
    </row>
    <row r="11" spans="2:12" ht="15" customHeight="1" x14ac:dyDescent="0.25">
      <c r="B11" s="45" t="s">
        <v>270</v>
      </c>
      <c r="C11" s="45"/>
      <c r="D11" s="45"/>
      <c r="E11" s="45"/>
      <c r="F11" s="45"/>
      <c r="G11" s="45"/>
      <c r="H11" s="45"/>
      <c r="I11" s="45"/>
      <c r="J11" s="45"/>
      <c r="K11" s="45"/>
      <c r="L11" s="45"/>
    </row>
    <row r="12" spans="2:12" ht="15" customHeight="1" x14ac:dyDescent="0.25">
      <c r="B12" s="45" t="s">
        <v>271</v>
      </c>
      <c r="C12" s="45"/>
      <c r="D12" s="45"/>
      <c r="E12" s="45"/>
      <c r="F12" s="45"/>
      <c r="G12" s="45"/>
      <c r="H12" s="45"/>
      <c r="I12" s="45"/>
      <c r="J12" s="45"/>
      <c r="K12" s="45"/>
      <c r="L12" s="45"/>
    </row>
    <row r="13" spans="2:12" ht="15" customHeight="1" x14ac:dyDescent="0.25">
      <c r="B13" s="45"/>
      <c r="C13" s="45"/>
      <c r="D13" s="45"/>
      <c r="E13" s="45"/>
      <c r="F13" s="45"/>
      <c r="G13" s="45"/>
      <c r="H13" s="45"/>
      <c r="I13" s="45"/>
      <c r="J13" s="45"/>
      <c r="K13" s="45"/>
      <c r="L13" s="45"/>
    </row>
    <row r="14" spans="2:12" ht="15" customHeight="1" x14ac:dyDescent="0.25">
      <c r="B14" s="46" t="s">
        <v>272</v>
      </c>
      <c r="C14" s="46"/>
      <c r="D14" s="46"/>
      <c r="E14" s="46"/>
      <c r="F14" s="46"/>
      <c r="G14" s="46"/>
      <c r="H14" s="46"/>
      <c r="I14" s="46"/>
      <c r="J14" s="46"/>
      <c r="K14" s="46"/>
      <c r="L14" s="46"/>
    </row>
    <row r="15" spans="2:12" ht="15" customHeight="1" x14ac:dyDescent="0.25">
      <c r="B15" s="45" t="s">
        <v>273</v>
      </c>
      <c r="C15" s="45"/>
      <c r="D15" s="45"/>
      <c r="E15" s="45"/>
      <c r="F15" s="45"/>
      <c r="G15" s="45"/>
      <c r="H15" s="45"/>
      <c r="I15" s="45"/>
      <c r="J15" s="45"/>
      <c r="K15" s="45"/>
      <c r="L15" s="45"/>
    </row>
    <row r="16" spans="2:12" ht="15" customHeight="1" x14ac:dyDescent="0.25">
      <c r="B16" s="45" t="s">
        <v>274</v>
      </c>
      <c r="C16" s="45"/>
      <c r="D16" s="45"/>
      <c r="E16" s="45"/>
      <c r="F16" s="45"/>
      <c r="G16" s="45"/>
      <c r="H16" s="45"/>
      <c r="I16" s="45"/>
      <c r="J16" s="45"/>
      <c r="K16" s="45"/>
      <c r="L16" s="45"/>
    </row>
    <row r="17" spans="2:12" ht="15" customHeight="1" x14ac:dyDescent="0.25">
      <c r="B17" s="45"/>
      <c r="C17" s="45"/>
      <c r="D17" s="45"/>
      <c r="E17" s="45"/>
      <c r="F17" s="45"/>
      <c r="G17" s="45"/>
      <c r="H17" s="45"/>
      <c r="I17" s="45"/>
      <c r="J17" s="45"/>
      <c r="K17" s="45"/>
      <c r="L17" s="45"/>
    </row>
    <row r="18" spans="2:12" ht="15" customHeight="1" x14ac:dyDescent="0.25">
      <c r="B18" s="46" t="s">
        <v>275</v>
      </c>
      <c r="C18" s="46"/>
      <c r="D18" s="46"/>
      <c r="E18" s="46"/>
      <c r="F18" s="46"/>
      <c r="G18" s="46"/>
      <c r="H18" s="46"/>
      <c r="I18" s="46"/>
      <c r="J18" s="46"/>
      <c r="K18" s="46"/>
      <c r="L18" s="46"/>
    </row>
    <row r="19" spans="2:12" ht="15" customHeight="1" x14ac:dyDescent="0.25">
      <c r="B19" s="45" t="s">
        <v>276</v>
      </c>
      <c r="C19" s="45"/>
      <c r="D19" s="45"/>
      <c r="E19" s="45"/>
      <c r="F19" s="45"/>
      <c r="G19" s="45"/>
      <c r="H19" s="45"/>
      <c r="I19" s="45"/>
      <c r="J19" s="45"/>
      <c r="K19" s="45"/>
      <c r="L19" s="45"/>
    </row>
    <row r="20" spans="2:12" ht="15" customHeight="1" x14ac:dyDescent="0.25">
      <c r="B20" s="45" t="s">
        <v>277</v>
      </c>
      <c r="C20" s="45"/>
      <c r="D20" s="45"/>
      <c r="E20" s="45"/>
      <c r="F20" s="45"/>
      <c r="G20" s="45"/>
      <c r="H20" s="45"/>
      <c r="I20" s="45"/>
      <c r="J20" s="45"/>
      <c r="K20" s="45"/>
      <c r="L20" s="45"/>
    </row>
    <row r="21" spans="2:12" ht="15" customHeight="1" x14ac:dyDescent="0.25">
      <c r="B21" s="45" t="s">
        <v>278</v>
      </c>
      <c r="C21" s="45"/>
      <c r="D21" s="45"/>
      <c r="E21" s="45"/>
      <c r="F21" s="45"/>
      <c r="G21" s="45"/>
      <c r="H21" s="45"/>
      <c r="I21" s="45"/>
      <c r="J21" s="45"/>
      <c r="K21" s="45"/>
      <c r="L21" s="45"/>
    </row>
    <row r="22" spans="2:12" ht="15" customHeight="1" x14ac:dyDescent="0.25">
      <c r="B22" s="45"/>
      <c r="C22" s="45"/>
      <c r="D22" s="45"/>
      <c r="E22" s="45"/>
      <c r="F22" s="45"/>
      <c r="G22" s="45"/>
      <c r="H22" s="45"/>
      <c r="I22" s="45"/>
      <c r="J22" s="45"/>
      <c r="K22" s="45"/>
      <c r="L22" s="45"/>
    </row>
    <row r="23" spans="2:12" ht="15" customHeight="1" x14ac:dyDescent="0.25">
      <c r="B23" s="46" t="s">
        <v>279</v>
      </c>
      <c r="C23" s="46"/>
      <c r="D23" s="46"/>
      <c r="E23" s="46"/>
      <c r="F23" s="46"/>
      <c r="G23" s="46"/>
      <c r="H23" s="46"/>
      <c r="I23" s="46"/>
      <c r="J23" s="46"/>
      <c r="K23" s="46"/>
      <c r="L23" s="46"/>
    </row>
    <row r="24" spans="2:12" ht="15" customHeight="1" x14ac:dyDescent="0.25">
      <c r="B24" s="45" t="s">
        <v>280</v>
      </c>
      <c r="C24" s="45"/>
      <c r="D24" s="45"/>
      <c r="E24" s="45"/>
      <c r="F24" s="45"/>
      <c r="G24" s="45"/>
      <c r="H24" s="45"/>
      <c r="I24" s="45"/>
      <c r="J24" s="45"/>
      <c r="K24" s="45"/>
      <c r="L24" s="45"/>
    </row>
    <row r="25" spans="2:12" ht="15" customHeight="1" x14ac:dyDescent="0.25">
      <c r="B25" s="45" t="s">
        <v>281</v>
      </c>
      <c r="C25" s="45"/>
      <c r="D25" s="45"/>
      <c r="E25" s="45"/>
      <c r="F25" s="45"/>
      <c r="G25" s="45"/>
      <c r="H25" s="45"/>
      <c r="I25" s="45"/>
      <c r="J25" s="45"/>
      <c r="K25" s="45"/>
      <c r="L25" s="45"/>
    </row>
  </sheetData>
  <mergeCells count="24">
    <mergeCell ref="B22:L22"/>
    <mergeCell ref="B23:L23"/>
    <mergeCell ref="B24:L24"/>
    <mergeCell ref="B25:L25"/>
    <mergeCell ref="B17:L17"/>
    <mergeCell ref="B18:L18"/>
    <mergeCell ref="B19:L19"/>
    <mergeCell ref="B20:L20"/>
    <mergeCell ref="B21:L21"/>
    <mergeCell ref="B12:L12"/>
    <mergeCell ref="B13:L13"/>
    <mergeCell ref="B14:L14"/>
    <mergeCell ref="B15:L15"/>
    <mergeCell ref="B16:L16"/>
    <mergeCell ref="B7:L7"/>
    <mergeCell ref="B8:L8"/>
    <mergeCell ref="B9:L9"/>
    <mergeCell ref="B10:L10"/>
    <mergeCell ref="B11:L11"/>
    <mergeCell ref="B2:L2"/>
    <mergeCell ref="B3:L3"/>
    <mergeCell ref="B4:L4"/>
    <mergeCell ref="B5:L5"/>
    <mergeCell ref="B6:L6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4</vt:i4>
      </vt:variant>
    </vt:vector>
  </HeadingPairs>
  <TitlesOfParts>
    <vt:vector size="4" baseType="lpstr">
      <vt:lpstr>Dashboard</vt:lpstr>
      <vt:lpstr>Rohdaten</vt:lpstr>
      <vt:lpstr>Auswertung</vt:lpstr>
      <vt:lpstr>Anleitung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Drilan Veseli</cp:lastModifiedBy>
  <cp:revision>9</cp:revision>
  <dcterms:created xsi:type="dcterms:W3CDTF">2026-02-18T08:50:00Z</dcterms:created>
  <dcterms:modified xsi:type="dcterms:W3CDTF">2026-07-07T13:39:01Z</dcterms:modified>
  <dc:language>en-US</dc:language>
</cp:coreProperties>
</file>