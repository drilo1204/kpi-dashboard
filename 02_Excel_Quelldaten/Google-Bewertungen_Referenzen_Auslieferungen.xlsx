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laub\Nextcloud\"/>
    </mc:Choice>
  </mc:AlternateContent>
  <xr:revisionPtr revIDLastSave="0" documentId="13_ncr:1_{E988F272-20CA-498F-BB47-178412AD8194}" xr6:coauthVersionLast="47" xr6:coauthVersionMax="47" xr10:uidLastSave="{00000000-0000-0000-0000-000000000000}"/>
  <bookViews>
    <workbookView xWindow="6900" yWindow="1740" windowWidth="23040" windowHeight="12105" tabRatio="500" activeTab="1" xr2:uid="{00000000-000D-0000-FFFF-FFFF00000000}"/>
  </bookViews>
  <sheets>
    <sheet name="Dashboard" sheetId="1" r:id="rId1"/>
    <sheet name="Rohdaten" sheetId="2" r:id="rId2"/>
    <sheet name="Monatsauswertung" sheetId="3" r:id="rId3"/>
    <sheet name="Segmentanalyse" sheetId="4" r:id="rId4"/>
  </sheets>
  <definedNames>
    <definedName name="_xlnm._FilterDatabase" localSheetId="1" hidden="1">Rohdaten!$A$3:$K$502</definedName>
  </definedNam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8" i="2" l="1"/>
  <c r="K68" i="2"/>
  <c r="G12" i="4"/>
  <c r="E12" i="4"/>
  <c r="C12" i="4"/>
  <c r="B12" i="4"/>
  <c r="G11" i="4"/>
  <c r="E11" i="4"/>
  <c r="C11" i="4"/>
  <c r="B11" i="4"/>
  <c r="G10" i="4"/>
  <c r="E10" i="4"/>
  <c r="C10" i="4"/>
  <c r="B10" i="4"/>
  <c r="G9" i="4"/>
  <c r="E9" i="4"/>
  <c r="C9" i="4"/>
  <c r="B9" i="4"/>
  <c r="G8" i="4"/>
  <c r="E8" i="4"/>
  <c r="C8" i="4"/>
  <c r="B8" i="4"/>
  <c r="G7" i="4"/>
  <c r="E7" i="4"/>
  <c r="C7" i="4"/>
  <c r="B7" i="4"/>
  <c r="G6" i="4"/>
  <c r="E6" i="4"/>
  <c r="C6" i="4"/>
  <c r="B6" i="4"/>
  <c r="G5" i="4"/>
  <c r="E5" i="4"/>
  <c r="C5" i="4"/>
  <c r="B5" i="4"/>
  <c r="G4" i="4"/>
  <c r="E4" i="4"/>
  <c r="C4" i="4"/>
  <c r="B4" i="4"/>
  <c r="G31" i="3"/>
  <c r="D24" i="1"/>
  <c r="K502" i="2"/>
  <c r="J502" i="2"/>
  <c r="K501" i="2"/>
  <c r="J501" i="2"/>
  <c r="K500" i="2"/>
  <c r="J500" i="2"/>
  <c r="K499" i="2"/>
  <c r="J499" i="2"/>
  <c r="K498" i="2"/>
  <c r="J498" i="2"/>
  <c r="K497" i="2"/>
  <c r="J497" i="2"/>
  <c r="K496" i="2"/>
  <c r="J496" i="2"/>
  <c r="K495" i="2"/>
  <c r="J495" i="2"/>
  <c r="K494" i="2"/>
  <c r="J494" i="2"/>
  <c r="K493" i="2"/>
  <c r="J493" i="2"/>
  <c r="K492" i="2"/>
  <c r="J492" i="2"/>
  <c r="K491" i="2"/>
  <c r="J491" i="2"/>
  <c r="K490" i="2"/>
  <c r="J490" i="2"/>
  <c r="K489" i="2"/>
  <c r="J489" i="2"/>
  <c r="K488" i="2"/>
  <c r="J488" i="2"/>
  <c r="K487" i="2"/>
  <c r="J487" i="2"/>
  <c r="K486" i="2"/>
  <c r="J486" i="2"/>
  <c r="K485" i="2"/>
  <c r="J485" i="2"/>
  <c r="K484" i="2"/>
  <c r="J484" i="2"/>
  <c r="K483" i="2"/>
  <c r="J483" i="2"/>
  <c r="K482" i="2"/>
  <c r="J482" i="2"/>
  <c r="K481" i="2"/>
  <c r="J481" i="2"/>
  <c r="K480" i="2"/>
  <c r="J480" i="2"/>
  <c r="K479" i="2"/>
  <c r="J479" i="2"/>
  <c r="K478" i="2"/>
  <c r="J478" i="2"/>
  <c r="K477" i="2"/>
  <c r="J477" i="2"/>
  <c r="K476" i="2"/>
  <c r="J476" i="2"/>
  <c r="K475" i="2"/>
  <c r="J475" i="2"/>
  <c r="K474" i="2"/>
  <c r="J474" i="2"/>
  <c r="K473" i="2"/>
  <c r="J473" i="2"/>
  <c r="K472" i="2"/>
  <c r="J472" i="2"/>
  <c r="K471" i="2"/>
  <c r="J471" i="2"/>
  <c r="K470" i="2"/>
  <c r="J470" i="2"/>
  <c r="K469" i="2"/>
  <c r="J469" i="2"/>
  <c r="K468" i="2"/>
  <c r="J468" i="2"/>
  <c r="K467" i="2"/>
  <c r="J467" i="2"/>
  <c r="K466" i="2"/>
  <c r="J466" i="2"/>
  <c r="K465" i="2"/>
  <c r="J465" i="2"/>
  <c r="K464" i="2"/>
  <c r="J464" i="2"/>
  <c r="K463" i="2"/>
  <c r="J463" i="2"/>
  <c r="K462" i="2"/>
  <c r="J462" i="2"/>
  <c r="K461" i="2"/>
  <c r="J461" i="2"/>
  <c r="K460" i="2"/>
  <c r="J460" i="2"/>
  <c r="K459" i="2"/>
  <c r="J459" i="2"/>
  <c r="K458" i="2"/>
  <c r="J458" i="2"/>
  <c r="K457" i="2"/>
  <c r="J457" i="2"/>
  <c r="K456" i="2"/>
  <c r="J456" i="2"/>
  <c r="K455" i="2"/>
  <c r="J455" i="2"/>
  <c r="K454" i="2"/>
  <c r="J454" i="2"/>
  <c r="K453" i="2"/>
  <c r="J453" i="2"/>
  <c r="K452" i="2"/>
  <c r="J452" i="2"/>
  <c r="K451" i="2"/>
  <c r="J451" i="2"/>
  <c r="K450" i="2"/>
  <c r="J450" i="2"/>
  <c r="K449" i="2"/>
  <c r="J449" i="2"/>
  <c r="K448" i="2"/>
  <c r="J448" i="2"/>
  <c r="K447" i="2"/>
  <c r="J447" i="2"/>
  <c r="K446" i="2"/>
  <c r="J446" i="2"/>
  <c r="K445" i="2"/>
  <c r="J445" i="2"/>
  <c r="K444" i="2"/>
  <c r="J444" i="2"/>
  <c r="K443" i="2"/>
  <c r="J443" i="2"/>
  <c r="K442" i="2"/>
  <c r="J442" i="2"/>
  <c r="K441" i="2"/>
  <c r="J441" i="2"/>
  <c r="K440" i="2"/>
  <c r="J440" i="2"/>
  <c r="K439" i="2"/>
  <c r="J439" i="2"/>
  <c r="K438" i="2"/>
  <c r="J438" i="2"/>
  <c r="K437" i="2"/>
  <c r="J437" i="2"/>
  <c r="K436" i="2"/>
  <c r="J436" i="2"/>
  <c r="K435" i="2"/>
  <c r="J435" i="2"/>
  <c r="K434" i="2"/>
  <c r="J434" i="2"/>
  <c r="K433" i="2"/>
  <c r="J433" i="2"/>
  <c r="K432" i="2"/>
  <c r="J432" i="2"/>
  <c r="K431" i="2"/>
  <c r="J431" i="2"/>
  <c r="K430" i="2"/>
  <c r="J430" i="2"/>
  <c r="K429" i="2"/>
  <c r="J429" i="2"/>
  <c r="K428" i="2"/>
  <c r="J428" i="2"/>
  <c r="K427" i="2"/>
  <c r="J427" i="2"/>
  <c r="K426" i="2"/>
  <c r="J426" i="2"/>
  <c r="K425" i="2"/>
  <c r="J425" i="2"/>
  <c r="K424" i="2"/>
  <c r="J424" i="2"/>
  <c r="K423" i="2"/>
  <c r="J423" i="2"/>
  <c r="K422" i="2"/>
  <c r="J422" i="2"/>
  <c r="K421" i="2"/>
  <c r="J421" i="2"/>
  <c r="K420" i="2"/>
  <c r="J420" i="2"/>
  <c r="K419" i="2"/>
  <c r="J419" i="2"/>
  <c r="K418" i="2"/>
  <c r="J418" i="2"/>
  <c r="K417" i="2"/>
  <c r="J417" i="2"/>
  <c r="K416" i="2"/>
  <c r="J416" i="2"/>
  <c r="K415" i="2"/>
  <c r="J415" i="2"/>
  <c r="K414" i="2"/>
  <c r="J414" i="2"/>
  <c r="K413" i="2"/>
  <c r="J413" i="2"/>
  <c r="K412" i="2"/>
  <c r="J412" i="2"/>
  <c r="K411" i="2"/>
  <c r="J411" i="2"/>
  <c r="K410" i="2"/>
  <c r="J410" i="2"/>
  <c r="K409" i="2"/>
  <c r="J409" i="2"/>
  <c r="K408" i="2"/>
  <c r="J408" i="2"/>
  <c r="K407" i="2"/>
  <c r="J407" i="2"/>
  <c r="K406" i="2"/>
  <c r="J406" i="2"/>
  <c r="K405" i="2"/>
  <c r="J405" i="2"/>
  <c r="K404" i="2"/>
  <c r="J404" i="2"/>
  <c r="K403" i="2"/>
  <c r="J403" i="2"/>
  <c r="K402" i="2"/>
  <c r="J402" i="2"/>
  <c r="K401" i="2"/>
  <c r="J401" i="2"/>
  <c r="K400" i="2"/>
  <c r="J400" i="2"/>
  <c r="K399" i="2"/>
  <c r="J399" i="2"/>
  <c r="K398" i="2"/>
  <c r="J398" i="2"/>
  <c r="K397" i="2"/>
  <c r="J397" i="2"/>
  <c r="K396" i="2"/>
  <c r="J396" i="2"/>
  <c r="K395" i="2"/>
  <c r="J395" i="2"/>
  <c r="K394" i="2"/>
  <c r="J394" i="2"/>
  <c r="K393" i="2"/>
  <c r="J393" i="2"/>
  <c r="K392" i="2"/>
  <c r="J392" i="2"/>
  <c r="K391" i="2"/>
  <c r="J391" i="2"/>
  <c r="K390" i="2"/>
  <c r="J390" i="2"/>
  <c r="K389" i="2"/>
  <c r="J389" i="2"/>
  <c r="K388" i="2"/>
  <c r="J388" i="2"/>
  <c r="K387" i="2"/>
  <c r="J387" i="2"/>
  <c r="K386" i="2"/>
  <c r="J386" i="2"/>
  <c r="K385" i="2"/>
  <c r="J385" i="2"/>
  <c r="K384" i="2"/>
  <c r="J384" i="2"/>
  <c r="K383" i="2"/>
  <c r="J383" i="2"/>
  <c r="K382" i="2"/>
  <c r="J382" i="2"/>
  <c r="K381" i="2"/>
  <c r="J381" i="2"/>
  <c r="K380" i="2"/>
  <c r="J380" i="2"/>
  <c r="K379" i="2"/>
  <c r="J379" i="2"/>
  <c r="K378" i="2"/>
  <c r="J378" i="2"/>
  <c r="K377" i="2"/>
  <c r="J377" i="2"/>
  <c r="K376" i="2"/>
  <c r="J376" i="2"/>
  <c r="K375" i="2"/>
  <c r="J375" i="2"/>
  <c r="K374" i="2"/>
  <c r="J374" i="2"/>
  <c r="K373" i="2"/>
  <c r="J373" i="2"/>
  <c r="K372" i="2"/>
  <c r="J372" i="2"/>
  <c r="K371" i="2"/>
  <c r="J371" i="2"/>
  <c r="K370" i="2"/>
  <c r="J370" i="2"/>
  <c r="K369" i="2"/>
  <c r="J369" i="2"/>
  <c r="K368" i="2"/>
  <c r="J368" i="2"/>
  <c r="K367" i="2"/>
  <c r="J367" i="2"/>
  <c r="K366" i="2"/>
  <c r="J366" i="2"/>
  <c r="K365" i="2"/>
  <c r="J365" i="2"/>
  <c r="K364" i="2"/>
  <c r="J364" i="2"/>
  <c r="K363" i="2"/>
  <c r="J363" i="2"/>
  <c r="K362" i="2"/>
  <c r="J362" i="2"/>
  <c r="K361" i="2"/>
  <c r="J361" i="2"/>
  <c r="K360" i="2"/>
  <c r="J360" i="2"/>
  <c r="K359" i="2"/>
  <c r="J359" i="2"/>
  <c r="K358" i="2"/>
  <c r="J358" i="2"/>
  <c r="K357" i="2"/>
  <c r="J357" i="2"/>
  <c r="K356" i="2"/>
  <c r="J356" i="2"/>
  <c r="K355" i="2"/>
  <c r="J355" i="2"/>
  <c r="K354" i="2"/>
  <c r="J354" i="2"/>
  <c r="K353" i="2"/>
  <c r="J353" i="2"/>
  <c r="K352" i="2"/>
  <c r="J352" i="2"/>
  <c r="K351" i="2"/>
  <c r="J351" i="2"/>
  <c r="K350" i="2"/>
  <c r="J350" i="2"/>
  <c r="K349" i="2"/>
  <c r="J349" i="2"/>
  <c r="K348" i="2"/>
  <c r="J348" i="2"/>
  <c r="K347" i="2"/>
  <c r="J347" i="2"/>
  <c r="K346" i="2"/>
  <c r="J346" i="2"/>
  <c r="K345" i="2"/>
  <c r="J345" i="2"/>
  <c r="K344" i="2"/>
  <c r="J344" i="2"/>
  <c r="K343" i="2"/>
  <c r="J343" i="2"/>
  <c r="K342" i="2"/>
  <c r="J342" i="2"/>
  <c r="K341" i="2"/>
  <c r="J341" i="2"/>
  <c r="K340" i="2"/>
  <c r="J340" i="2"/>
  <c r="K339" i="2"/>
  <c r="J339" i="2"/>
  <c r="K338" i="2"/>
  <c r="J338" i="2"/>
  <c r="K337" i="2"/>
  <c r="J337" i="2"/>
  <c r="K336" i="2"/>
  <c r="J336" i="2"/>
  <c r="K335" i="2"/>
  <c r="J335" i="2"/>
  <c r="K334" i="2"/>
  <c r="J334" i="2"/>
  <c r="K333" i="2"/>
  <c r="J333" i="2"/>
  <c r="K332" i="2"/>
  <c r="J332" i="2"/>
  <c r="K331" i="2"/>
  <c r="J331" i="2"/>
  <c r="K330" i="2"/>
  <c r="J330" i="2"/>
  <c r="K329" i="2"/>
  <c r="J329" i="2"/>
  <c r="K328" i="2"/>
  <c r="J328" i="2"/>
  <c r="K327" i="2"/>
  <c r="J327" i="2"/>
  <c r="K326" i="2"/>
  <c r="J326" i="2"/>
  <c r="K325" i="2"/>
  <c r="J325" i="2"/>
  <c r="K324" i="2"/>
  <c r="J324" i="2"/>
  <c r="K323" i="2"/>
  <c r="J323" i="2"/>
  <c r="K322" i="2"/>
  <c r="J322" i="2"/>
  <c r="K321" i="2"/>
  <c r="J321" i="2"/>
  <c r="K320" i="2"/>
  <c r="J320" i="2"/>
  <c r="K319" i="2"/>
  <c r="J319" i="2"/>
  <c r="K318" i="2"/>
  <c r="J318" i="2"/>
  <c r="K317" i="2"/>
  <c r="J317" i="2"/>
  <c r="K316" i="2"/>
  <c r="J316" i="2"/>
  <c r="K315" i="2"/>
  <c r="J315" i="2"/>
  <c r="K314" i="2"/>
  <c r="J314" i="2"/>
  <c r="K313" i="2"/>
  <c r="J313" i="2"/>
  <c r="K312" i="2"/>
  <c r="J312" i="2"/>
  <c r="K311" i="2"/>
  <c r="J311" i="2"/>
  <c r="K310" i="2"/>
  <c r="J310" i="2"/>
  <c r="K309" i="2"/>
  <c r="J309" i="2"/>
  <c r="K308" i="2"/>
  <c r="J308" i="2"/>
  <c r="K307" i="2"/>
  <c r="J307" i="2"/>
  <c r="K306" i="2"/>
  <c r="J306" i="2"/>
  <c r="K305" i="2"/>
  <c r="J305" i="2"/>
  <c r="K304" i="2"/>
  <c r="J304" i="2"/>
  <c r="K303" i="2"/>
  <c r="J303" i="2"/>
  <c r="K302" i="2"/>
  <c r="J302" i="2"/>
  <c r="K301" i="2"/>
  <c r="J301" i="2"/>
  <c r="K300" i="2"/>
  <c r="J300" i="2"/>
  <c r="K299" i="2"/>
  <c r="J299" i="2"/>
  <c r="K298" i="2"/>
  <c r="J298" i="2"/>
  <c r="K297" i="2"/>
  <c r="J297" i="2"/>
  <c r="K296" i="2"/>
  <c r="J296" i="2"/>
  <c r="K295" i="2"/>
  <c r="J295" i="2"/>
  <c r="K294" i="2"/>
  <c r="J294" i="2"/>
  <c r="K293" i="2"/>
  <c r="J293" i="2"/>
  <c r="K292" i="2"/>
  <c r="J292" i="2"/>
  <c r="K291" i="2"/>
  <c r="J291" i="2"/>
  <c r="K290" i="2"/>
  <c r="J290" i="2"/>
  <c r="K289" i="2"/>
  <c r="J289" i="2"/>
  <c r="K288" i="2"/>
  <c r="J288" i="2"/>
  <c r="K287" i="2"/>
  <c r="J287" i="2"/>
  <c r="K286" i="2"/>
  <c r="J286" i="2"/>
  <c r="K285" i="2"/>
  <c r="J285" i="2"/>
  <c r="K284" i="2"/>
  <c r="J284" i="2"/>
  <c r="K283" i="2"/>
  <c r="J283" i="2"/>
  <c r="K282" i="2"/>
  <c r="J282" i="2"/>
  <c r="K281" i="2"/>
  <c r="J281" i="2"/>
  <c r="K280" i="2"/>
  <c r="J280" i="2"/>
  <c r="K279" i="2"/>
  <c r="J279" i="2"/>
  <c r="K278" i="2"/>
  <c r="J278" i="2"/>
  <c r="K277" i="2"/>
  <c r="J277" i="2"/>
  <c r="K276" i="2"/>
  <c r="J276" i="2"/>
  <c r="K275" i="2"/>
  <c r="J275" i="2"/>
  <c r="K274" i="2"/>
  <c r="J274" i="2"/>
  <c r="K273" i="2"/>
  <c r="J273" i="2"/>
  <c r="K272" i="2"/>
  <c r="J272" i="2"/>
  <c r="K271" i="2"/>
  <c r="J271" i="2"/>
  <c r="K270" i="2"/>
  <c r="J270" i="2"/>
  <c r="K269" i="2"/>
  <c r="J269" i="2"/>
  <c r="K268" i="2"/>
  <c r="J268" i="2"/>
  <c r="K267" i="2"/>
  <c r="J267" i="2"/>
  <c r="K266" i="2"/>
  <c r="J266" i="2"/>
  <c r="K265" i="2"/>
  <c r="J265" i="2"/>
  <c r="K264" i="2"/>
  <c r="J264" i="2"/>
  <c r="K263" i="2"/>
  <c r="J263" i="2"/>
  <c r="K262" i="2"/>
  <c r="J262" i="2"/>
  <c r="K261" i="2"/>
  <c r="J261" i="2"/>
  <c r="K260" i="2"/>
  <c r="J260" i="2"/>
  <c r="K259" i="2"/>
  <c r="J259" i="2"/>
  <c r="K258" i="2"/>
  <c r="J258" i="2"/>
  <c r="K257" i="2"/>
  <c r="J257" i="2"/>
  <c r="K256" i="2"/>
  <c r="J256" i="2"/>
  <c r="K255" i="2"/>
  <c r="J255" i="2"/>
  <c r="K254" i="2"/>
  <c r="J254" i="2"/>
  <c r="K253" i="2"/>
  <c r="J253" i="2"/>
  <c r="K252" i="2"/>
  <c r="J252" i="2"/>
  <c r="K251" i="2"/>
  <c r="J251" i="2"/>
  <c r="K250" i="2"/>
  <c r="J250" i="2"/>
  <c r="K249" i="2"/>
  <c r="J249" i="2"/>
  <c r="K248" i="2"/>
  <c r="J248" i="2"/>
  <c r="K247" i="2"/>
  <c r="J247" i="2"/>
  <c r="K246" i="2"/>
  <c r="J246" i="2"/>
  <c r="K245" i="2"/>
  <c r="J245" i="2"/>
  <c r="K244" i="2"/>
  <c r="J244" i="2"/>
  <c r="K243" i="2"/>
  <c r="J243" i="2"/>
  <c r="K242" i="2"/>
  <c r="J242" i="2"/>
  <c r="K241" i="2"/>
  <c r="J241" i="2"/>
  <c r="K240" i="2"/>
  <c r="J240" i="2"/>
  <c r="K239" i="2"/>
  <c r="J239" i="2"/>
  <c r="K238" i="2"/>
  <c r="J238" i="2"/>
  <c r="K237" i="2"/>
  <c r="J237" i="2"/>
  <c r="K236" i="2"/>
  <c r="J236" i="2"/>
  <c r="K235" i="2"/>
  <c r="J235" i="2"/>
  <c r="K234" i="2"/>
  <c r="J234" i="2"/>
  <c r="K233" i="2"/>
  <c r="J233" i="2"/>
  <c r="K232" i="2"/>
  <c r="J232" i="2"/>
  <c r="K231" i="2"/>
  <c r="J231" i="2"/>
  <c r="K230" i="2"/>
  <c r="J230" i="2"/>
  <c r="K229" i="2"/>
  <c r="J229" i="2"/>
  <c r="K228" i="2"/>
  <c r="J228" i="2"/>
  <c r="K227" i="2"/>
  <c r="J227" i="2"/>
  <c r="K226" i="2"/>
  <c r="J226" i="2"/>
  <c r="K225" i="2"/>
  <c r="J225" i="2"/>
  <c r="K224" i="2"/>
  <c r="J224" i="2"/>
  <c r="K223" i="2"/>
  <c r="J223" i="2"/>
  <c r="K222" i="2"/>
  <c r="J222" i="2"/>
  <c r="K221" i="2"/>
  <c r="J221" i="2"/>
  <c r="K220" i="2"/>
  <c r="J220" i="2"/>
  <c r="K219" i="2"/>
  <c r="J219" i="2"/>
  <c r="K218" i="2"/>
  <c r="J218" i="2"/>
  <c r="K217" i="2"/>
  <c r="J217" i="2"/>
  <c r="K216" i="2"/>
  <c r="J216" i="2"/>
  <c r="K215" i="2"/>
  <c r="J215" i="2"/>
  <c r="K214" i="2"/>
  <c r="J214" i="2"/>
  <c r="K213" i="2"/>
  <c r="J213" i="2"/>
  <c r="K212" i="2"/>
  <c r="J212" i="2"/>
  <c r="K211" i="2"/>
  <c r="J211" i="2"/>
  <c r="K210" i="2"/>
  <c r="J210" i="2"/>
  <c r="K209" i="2"/>
  <c r="J209" i="2"/>
  <c r="K208" i="2"/>
  <c r="J208" i="2"/>
  <c r="K207" i="2"/>
  <c r="J207" i="2"/>
  <c r="K206" i="2"/>
  <c r="J206" i="2"/>
  <c r="K205" i="2"/>
  <c r="J205" i="2"/>
  <c r="K204" i="2"/>
  <c r="J204" i="2"/>
  <c r="K203" i="2"/>
  <c r="J203" i="2"/>
  <c r="K202" i="2"/>
  <c r="J202" i="2"/>
  <c r="K201" i="2"/>
  <c r="J201" i="2"/>
  <c r="K200" i="2"/>
  <c r="J200" i="2"/>
  <c r="K199" i="2"/>
  <c r="J199" i="2"/>
  <c r="K198" i="2"/>
  <c r="J198" i="2"/>
  <c r="K197" i="2"/>
  <c r="J197" i="2"/>
  <c r="K196" i="2"/>
  <c r="J196" i="2"/>
  <c r="K195" i="2"/>
  <c r="J195" i="2"/>
  <c r="K194" i="2"/>
  <c r="J194" i="2"/>
  <c r="K193" i="2"/>
  <c r="J193" i="2"/>
  <c r="K192" i="2"/>
  <c r="J192" i="2"/>
  <c r="K191" i="2"/>
  <c r="J191" i="2"/>
  <c r="K190" i="2"/>
  <c r="J190" i="2"/>
  <c r="K189" i="2"/>
  <c r="J189" i="2"/>
  <c r="K188" i="2"/>
  <c r="J188" i="2"/>
  <c r="K187" i="2"/>
  <c r="J187" i="2"/>
  <c r="K186" i="2"/>
  <c r="J186" i="2"/>
  <c r="K185" i="2"/>
  <c r="J185" i="2"/>
  <c r="K184" i="2"/>
  <c r="J184" i="2"/>
  <c r="K183" i="2"/>
  <c r="J183" i="2"/>
  <c r="K182" i="2"/>
  <c r="J182" i="2"/>
  <c r="K181" i="2"/>
  <c r="J181" i="2"/>
  <c r="K180" i="2"/>
  <c r="J180" i="2"/>
  <c r="K179" i="2"/>
  <c r="J179" i="2"/>
  <c r="K178" i="2"/>
  <c r="J178" i="2"/>
  <c r="K177" i="2"/>
  <c r="J177" i="2"/>
  <c r="K176" i="2"/>
  <c r="J176" i="2"/>
  <c r="K175" i="2"/>
  <c r="J175" i="2"/>
  <c r="K174" i="2"/>
  <c r="J174" i="2"/>
  <c r="K173" i="2"/>
  <c r="J173" i="2"/>
  <c r="K172" i="2"/>
  <c r="J172" i="2"/>
  <c r="K171" i="2"/>
  <c r="J171" i="2"/>
  <c r="K170" i="2"/>
  <c r="J170" i="2"/>
  <c r="K169" i="2"/>
  <c r="J169" i="2"/>
  <c r="K168" i="2"/>
  <c r="J168" i="2"/>
  <c r="K167" i="2"/>
  <c r="J167" i="2"/>
  <c r="K166" i="2"/>
  <c r="J166" i="2"/>
  <c r="K165" i="2"/>
  <c r="J165" i="2"/>
  <c r="K164" i="2"/>
  <c r="J164" i="2"/>
  <c r="K163" i="2"/>
  <c r="J163" i="2"/>
  <c r="K162" i="2"/>
  <c r="J162" i="2"/>
  <c r="K161" i="2"/>
  <c r="J161" i="2"/>
  <c r="K160" i="2"/>
  <c r="J160" i="2"/>
  <c r="K159" i="2"/>
  <c r="J159" i="2"/>
  <c r="K158" i="2"/>
  <c r="J158" i="2"/>
  <c r="K157" i="2"/>
  <c r="J157" i="2"/>
  <c r="K156" i="2"/>
  <c r="J156" i="2"/>
  <c r="K155" i="2"/>
  <c r="J155" i="2"/>
  <c r="K154" i="2"/>
  <c r="J154" i="2"/>
  <c r="K153" i="2"/>
  <c r="J153" i="2"/>
  <c r="K152" i="2"/>
  <c r="J152" i="2"/>
  <c r="K151" i="2"/>
  <c r="J151" i="2"/>
  <c r="K150" i="2"/>
  <c r="J150" i="2"/>
  <c r="K149" i="2"/>
  <c r="J149" i="2"/>
  <c r="K148" i="2"/>
  <c r="J148" i="2"/>
  <c r="K147" i="2"/>
  <c r="J147" i="2"/>
  <c r="K146" i="2"/>
  <c r="J146" i="2"/>
  <c r="K145" i="2"/>
  <c r="J145" i="2"/>
  <c r="K144" i="2"/>
  <c r="J144" i="2"/>
  <c r="K143" i="2"/>
  <c r="J143" i="2"/>
  <c r="K142" i="2"/>
  <c r="J142" i="2"/>
  <c r="K141" i="2"/>
  <c r="J141" i="2"/>
  <c r="K140" i="2"/>
  <c r="J140" i="2"/>
  <c r="K139" i="2"/>
  <c r="J139" i="2"/>
  <c r="K138" i="2"/>
  <c r="J138" i="2"/>
  <c r="K137" i="2"/>
  <c r="J137" i="2"/>
  <c r="K136" i="2"/>
  <c r="J136" i="2"/>
  <c r="K135" i="2"/>
  <c r="J135" i="2"/>
  <c r="K134" i="2"/>
  <c r="J134" i="2"/>
  <c r="K133" i="2"/>
  <c r="J133" i="2"/>
  <c r="K132" i="2"/>
  <c r="J132" i="2"/>
  <c r="K131" i="2"/>
  <c r="J131" i="2"/>
  <c r="K130" i="2"/>
  <c r="J130" i="2"/>
  <c r="K129" i="2"/>
  <c r="J129" i="2"/>
  <c r="K128" i="2"/>
  <c r="J128" i="2"/>
  <c r="K127" i="2"/>
  <c r="J127" i="2"/>
  <c r="K126" i="2"/>
  <c r="J126" i="2"/>
  <c r="K125" i="2"/>
  <c r="J125" i="2"/>
  <c r="K124" i="2"/>
  <c r="J124" i="2"/>
  <c r="K123" i="2"/>
  <c r="J123" i="2"/>
  <c r="K122" i="2"/>
  <c r="J122" i="2"/>
  <c r="K121" i="2"/>
  <c r="J121" i="2"/>
  <c r="K120" i="2"/>
  <c r="J120" i="2"/>
  <c r="K119" i="2"/>
  <c r="J119" i="2"/>
  <c r="K118" i="2"/>
  <c r="J118" i="2"/>
  <c r="K117" i="2"/>
  <c r="J117" i="2"/>
  <c r="K116" i="2"/>
  <c r="J116" i="2"/>
  <c r="K115" i="2"/>
  <c r="J115" i="2"/>
  <c r="K114" i="2"/>
  <c r="J114" i="2"/>
  <c r="K113" i="2"/>
  <c r="J113" i="2"/>
  <c r="K112" i="2"/>
  <c r="J112" i="2"/>
  <c r="K111" i="2"/>
  <c r="J111" i="2"/>
  <c r="K110" i="2"/>
  <c r="J110" i="2"/>
  <c r="K109" i="2"/>
  <c r="J109" i="2"/>
  <c r="K108" i="2"/>
  <c r="J108" i="2"/>
  <c r="K107" i="2"/>
  <c r="J107" i="2"/>
  <c r="K106" i="2"/>
  <c r="J106" i="2"/>
  <c r="K105" i="2"/>
  <c r="J105" i="2"/>
  <c r="K104" i="2"/>
  <c r="J104" i="2"/>
  <c r="K103" i="2"/>
  <c r="J103" i="2"/>
  <c r="K102" i="2"/>
  <c r="J102" i="2"/>
  <c r="K101" i="2"/>
  <c r="J101" i="2"/>
  <c r="K100" i="2"/>
  <c r="J100" i="2"/>
  <c r="K99" i="2"/>
  <c r="J99" i="2"/>
  <c r="K98" i="2"/>
  <c r="J98" i="2"/>
  <c r="K97" i="2"/>
  <c r="J97" i="2"/>
  <c r="K96" i="2"/>
  <c r="J96" i="2"/>
  <c r="K95" i="2"/>
  <c r="J95" i="2"/>
  <c r="K94" i="2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0" i="2"/>
  <c r="J80" i="2"/>
  <c r="K79" i="2"/>
  <c r="J79" i="2"/>
  <c r="K78" i="2"/>
  <c r="J78" i="2"/>
  <c r="K73" i="2"/>
  <c r="J73" i="2"/>
  <c r="J72" i="2"/>
  <c r="K71" i="2"/>
  <c r="J71" i="2"/>
  <c r="K70" i="2"/>
  <c r="J70" i="2"/>
  <c r="K69" i="2"/>
  <c r="J69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F24" i="1" s="1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K4" i="2"/>
  <c r="J4" i="2"/>
  <c r="F22" i="1" l="1"/>
  <c r="C23" i="1"/>
  <c r="F25" i="1"/>
  <c r="F26" i="1"/>
  <c r="C7" i="1"/>
  <c r="E7" i="1" s="1"/>
  <c r="C14" i="1" s="1"/>
  <c r="F21" i="1"/>
  <c r="C19" i="1"/>
  <c r="F19" i="1"/>
  <c r="F20" i="1"/>
  <c r="C26" i="1"/>
  <c r="C21" i="1"/>
  <c r="C25" i="1"/>
  <c r="C18" i="1"/>
  <c r="D22" i="1"/>
  <c r="D26" i="1"/>
  <c r="D23" i="1"/>
  <c r="C20" i="1"/>
  <c r="C24" i="1"/>
  <c r="E24" i="1" s="1"/>
  <c r="D18" i="1"/>
  <c r="D19" i="1"/>
  <c r="F23" i="1"/>
  <c r="D20" i="1"/>
  <c r="D21" i="1"/>
  <c r="E21" i="1" s="1"/>
  <c r="D25" i="1"/>
  <c r="E25" i="1" s="1"/>
  <c r="D7" i="1"/>
  <c r="C22" i="1"/>
  <c r="B7" i="1"/>
  <c r="C41" i="1"/>
  <c r="H29" i="3"/>
  <c r="F18" i="1"/>
  <c r="D33" i="1"/>
  <c r="D37" i="1"/>
  <c r="D41" i="1"/>
  <c r="E5" i="3"/>
  <c r="J6" i="3"/>
  <c r="H8" i="3"/>
  <c r="B10" i="3"/>
  <c r="H11" i="3"/>
  <c r="B13" i="3"/>
  <c r="H14" i="3"/>
  <c r="B16" i="3"/>
  <c r="H17" i="3"/>
  <c r="B19" i="3"/>
  <c r="H20" i="3"/>
  <c r="B22" i="3"/>
  <c r="I23" i="3"/>
  <c r="C25" i="3"/>
  <c r="L25" i="3" s="1"/>
  <c r="I26" i="3"/>
  <c r="C28" i="3"/>
  <c r="L28" i="3" s="1"/>
  <c r="I29" i="3"/>
  <c r="F33" i="1"/>
  <c r="F37" i="1"/>
  <c r="F41" i="1"/>
  <c r="G5" i="3"/>
  <c r="K6" i="3"/>
  <c r="I8" i="3"/>
  <c r="C10" i="3"/>
  <c r="L10" i="3" s="1"/>
  <c r="I11" i="3"/>
  <c r="C13" i="3"/>
  <c r="L13" i="3" s="1"/>
  <c r="I14" i="3"/>
  <c r="C16" i="3"/>
  <c r="L16" i="3" s="1"/>
  <c r="I17" i="3"/>
  <c r="C19" i="3"/>
  <c r="L19" i="3" s="1"/>
  <c r="I20" i="3"/>
  <c r="C22" i="3"/>
  <c r="L22" i="3" s="1"/>
  <c r="J23" i="3"/>
  <c r="E25" i="3"/>
  <c r="J26" i="3"/>
  <c r="E28" i="3"/>
  <c r="J29" i="3"/>
  <c r="C30" i="1"/>
  <c r="C34" i="1"/>
  <c r="C38" i="1"/>
  <c r="B4" i="3"/>
  <c r="H5" i="3"/>
  <c r="B7" i="3"/>
  <c r="J8" i="3"/>
  <c r="E10" i="3"/>
  <c r="J11" i="3"/>
  <c r="E13" i="3"/>
  <c r="J14" i="3"/>
  <c r="E16" i="3"/>
  <c r="J17" i="3"/>
  <c r="E19" i="3"/>
  <c r="J20" i="3"/>
  <c r="E22" i="3"/>
  <c r="K23" i="3"/>
  <c r="G25" i="3"/>
  <c r="K26" i="3"/>
  <c r="G28" i="3"/>
  <c r="K29" i="3"/>
  <c r="D30" i="1"/>
  <c r="D34" i="1"/>
  <c r="D38" i="1"/>
  <c r="C4" i="3"/>
  <c r="L4" i="3" s="1"/>
  <c r="I5" i="3"/>
  <c r="C7" i="3"/>
  <c r="L7" i="3" s="1"/>
  <c r="K8" i="3"/>
  <c r="G10" i="3"/>
  <c r="K11" i="3"/>
  <c r="G13" i="3"/>
  <c r="K14" i="3"/>
  <c r="G16" i="3"/>
  <c r="K17" i="3"/>
  <c r="G19" i="3"/>
  <c r="K20" i="3"/>
  <c r="H22" i="3"/>
  <c r="B24" i="3"/>
  <c r="H25" i="3"/>
  <c r="B27" i="3"/>
  <c r="H28" i="3"/>
  <c r="B30" i="3"/>
  <c r="F30" i="1"/>
  <c r="F34" i="1"/>
  <c r="F38" i="1"/>
  <c r="E4" i="3"/>
  <c r="J5" i="3"/>
  <c r="E7" i="3"/>
  <c r="B9" i="3"/>
  <c r="H10" i="3"/>
  <c r="B12" i="3"/>
  <c r="H13" i="3"/>
  <c r="B15" i="3"/>
  <c r="H16" i="3"/>
  <c r="B18" i="3"/>
  <c r="H19" i="3"/>
  <c r="B21" i="3"/>
  <c r="I22" i="3"/>
  <c r="C24" i="3"/>
  <c r="L24" i="3" s="1"/>
  <c r="I25" i="3"/>
  <c r="C27" i="3"/>
  <c r="L27" i="3" s="1"/>
  <c r="I28" i="3"/>
  <c r="C30" i="3"/>
  <c r="L30" i="3" s="1"/>
  <c r="C31" i="1"/>
  <c r="C35" i="1"/>
  <c r="C39" i="1"/>
  <c r="G4" i="3"/>
  <c r="K5" i="3"/>
  <c r="G7" i="3"/>
  <c r="C9" i="3"/>
  <c r="L9" i="3" s="1"/>
  <c r="I10" i="3"/>
  <c r="C12" i="3"/>
  <c r="L12" i="3" s="1"/>
  <c r="I13" i="3"/>
  <c r="C15" i="3"/>
  <c r="L15" i="3" s="1"/>
  <c r="I16" i="3"/>
  <c r="C18" i="3"/>
  <c r="L18" i="3" s="1"/>
  <c r="I19" i="3"/>
  <c r="C21" i="3"/>
  <c r="L21" i="3" s="1"/>
  <c r="J22" i="3"/>
  <c r="E24" i="3"/>
  <c r="J25" i="3"/>
  <c r="E27" i="3"/>
  <c r="J28" i="3"/>
  <c r="E30" i="3"/>
  <c r="D31" i="1"/>
  <c r="D35" i="1"/>
  <c r="D39" i="1"/>
  <c r="H4" i="3"/>
  <c r="B6" i="3"/>
  <c r="H7" i="3"/>
  <c r="E9" i="3"/>
  <c r="J10" i="3"/>
  <c r="E12" i="3"/>
  <c r="J13" i="3"/>
  <c r="E15" i="3"/>
  <c r="J16" i="3"/>
  <c r="E18" i="3"/>
  <c r="J19" i="3"/>
  <c r="E21" i="3"/>
  <c r="K22" i="3"/>
  <c r="G24" i="3"/>
  <c r="K25" i="3"/>
  <c r="G27" i="3"/>
  <c r="K28" i="3"/>
  <c r="G30" i="3"/>
  <c r="F31" i="1"/>
  <c r="F35" i="1"/>
  <c r="F39" i="1"/>
  <c r="I4" i="3"/>
  <c r="C6" i="3"/>
  <c r="L6" i="3" s="1"/>
  <c r="I7" i="3"/>
  <c r="G9" i="3"/>
  <c r="K10" i="3"/>
  <c r="G12" i="3"/>
  <c r="K13" i="3"/>
  <c r="G15" i="3"/>
  <c r="K16" i="3"/>
  <c r="G18" i="3"/>
  <c r="K19" i="3"/>
  <c r="G21" i="3"/>
  <c r="B23" i="3"/>
  <c r="H24" i="3"/>
  <c r="B26" i="3"/>
  <c r="H27" i="3"/>
  <c r="B29" i="3"/>
  <c r="H30" i="3"/>
  <c r="C32" i="1"/>
  <c r="C36" i="1"/>
  <c r="C40" i="1"/>
  <c r="J4" i="3"/>
  <c r="E6" i="3"/>
  <c r="J7" i="3"/>
  <c r="H9" i="3"/>
  <c r="B11" i="3"/>
  <c r="H12" i="3"/>
  <c r="B14" i="3"/>
  <c r="H15" i="3"/>
  <c r="B17" i="3"/>
  <c r="H18" i="3"/>
  <c r="B20" i="3"/>
  <c r="H21" i="3"/>
  <c r="C23" i="3"/>
  <c r="L23" i="3" s="1"/>
  <c r="I24" i="3"/>
  <c r="C26" i="3"/>
  <c r="L26" i="3" s="1"/>
  <c r="I27" i="3"/>
  <c r="C29" i="3"/>
  <c r="L29" i="3" s="1"/>
  <c r="I30" i="3"/>
  <c r="D32" i="1"/>
  <c r="D36" i="1"/>
  <c r="D40" i="1"/>
  <c r="K4" i="3"/>
  <c r="G6" i="3"/>
  <c r="C8" i="3"/>
  <c r="L8" i="3" s="1"/>
  <c r="I9" i="3"/>
  <c r="C11" i="3"/>
  <c r="L11" i="3" s="1"/>
  <c r="I12" i="3"/>
  <c r="C14" i="3"/>
  <c r="L14" i="3" s="1"/>
  <c r="I15" i="3"/>
  <c r="C17" i="3"/>
  <c r="L17" i="3" s="1"/>
  <c r="I18" i="3"/>
  <c r="C20" i="3"/>
  <c r="L20" i="3" s="1"/>
  <c r="I21" i="3"/>
  <c r="E23" i="3"/>
  <c r="J24" i="3"/>
  <c r="E26" i="3"/>
  <c r="J27" i="3"/>
  <c r="E29" i="3"/>
  <c r="J30" i="3"/>
  <c r="F32" i="1"/>
  <c r="F36" i="1"/>
  <c r="F40" i="1"/>
  <c r="B5" i="3"/>
  <c r="H6" i="3"/>
  <c r="E8" i="3"/>
  <c r="J9" i="3"/>
  <c r="E11" i="3"/>
  <c r="J12" i="3"/>
  <c r="E14" i="3"/>
  <c r="J15" i="3"/>
  <c r="E17" i="3"/>
  <c r="J18" i="3"/>
  <c r="E20" i="3"/>
  <c r="J21" i="3"/>
  <c r="G23" i="3"/>
  <c r="K24" i="3"/>
  <c r="G26" i="3"/>
  <c r="K27" i="3"/>
  <c r="G29" i="3"/>
  <c r="K30" i="3"/>
  <c r="C33" i="1"/>
  <c r="G33" i="1" s="1"/>
  <c r="C37" i="1"/>
  <c r="E37" i="1" s="1"/>
  <c r="C5" i="3"/>
  <c r="L5" i="3" s="1"/>
  <c r="I6" i="3"/>
  <c r="G8" i="3"/>
  <c r="K9" i="3"/>
  <c r="G11" i="3"/>
  <c r="K12" i="3"/>
  <c r="G14" i="3"/>
  <c r="K15" i="3"/>
  <c r="G17" i="3"/>
  <c r="K18" i="3"/>
  <c r="G20" i="3"/>
  <c r="K21" i="3"/>
  <c r="H23" i="3"/>
  <c r="B25" i="3"/>
  <c r="F25" i="3" s="1"/>
  <c r="H26" i="3"/>
  <c r="B28" i="3"/>
  <c r="D28" i="3" s="1"/>
  <c r="D12" i="4"/>
  <c r="F12" i="4"/>
  <c r="F11" i="4"/>
  <c r="D11" i="4"/>
  <c r="D10" i="4"/>
  <c r="F10" i="4"/>
  <c r="D9" i="4"/>
  <c r="F9" i="4"/>
  <c r="D8" i="4"/>
  <c r="F8" i="4"/>
  <c r="D7" i="4"/>
  <c r="F7" i="4"/>
  <c r="D6" i="4"/>
  <c r="F6" i="4"/>
  <c r="F5" i="4"/>
  <c r="D5" i="4"/>
  <c r="F4" i="4"/>
  <c r="D4" i="4"/>
  <c r="B8" i="3"/>
  <c r="K7" i="3"/>
  <c r="G22" i="3"/>
  <c r="F14" i="1" l="1"/>
  <c r="G19" i="1"/>
  <c r="G21" i="1"/>
  <c r="G23" i="1"/>
  <c r="E23" i="1"/>
  <c r="E19" i="1"/>
  <c r="G18" i="1"/>
  <c r="G25" i="1"/>
  <c r="G22" i="1"/>
  <c r="E26" i="1"/>
  <c r="G26" i="1"/>
  <c r="G20" i="1"/>
  <c r="E18" i="1"/>
  <c r="G7" i="1"/>
  <c r="C13" i="1" s="1"/>
  <c r="E20" i="1"/>
  <c r="E22" i="1"/>
  <c r="G24" i="1"/>
  <c r="G32" i="1"/>
  <c r="E31" i="1"/>
  <c r="G34" i="1"/>
  <c r="D6" i="3"/>
  <c r="F5" i="3"/>
  <c r="F7" i="1"/>
  <c r="F12" i="1" s="1"/>
  <c r="G31" i="1"/>
  <c r="E41" i="1"/>
  <c r="G41" i="1"/>
  <c r="E34" i="1"/>
  <c r="D4" i="3"/>
  <c r="D7" i="3"/>
  <c r="E32" i="1"/>
  <c r="F4" i="3"/>
  <c r="F7" i="3"/>
  <c r="F6" i="3"/>
  <c r="F10" i="3"/>
  <c r="D10" i="3"/>
  <c r="D13" i="3"/>
  <c r="F13" i="3"/>
  <c r="D16" i="3"/>
  <c r="F16" i="3"/>
  <c r="D19" i="3"/>
  <c r="F19" i="3"/>
  <c r="D22" i="3"/>
  <c r="F22" i="3"/>
  <c r="G30" i="1"/>
  <c r="E30" i="1"/>
  <c r="G38" i="1"/>
  <c r="E38" i="1"/>
  <c r="D24" i="3"/>
  <c r="F24" i="3"/>
  <c r="F27" i="3"/>
  <c r="D27" i="3"/>
  <c r="F30" i="3"/>
  <c r="D30" i="3"/>
  <c r="D9" i="3"/>
  <c r="F9" i="3"/>
  <c r="F12" i="3"/>
  <c r="D12" i="3"/>
  <c r="D15" i="3"/>
  <c r="F15" i="3"/>
  <c r="F18" i="3"/>
  <c r="D18" i="3"/>
  <c r="F21" i="3"/>
  <c r="D21" i="3"/>
  <c r="G35" i="1"/>
  <c r="E35" i="1"/>
  <c r="E39" i="1"/>
  <c r="G39" i="1"/>
  <c r="D23" i="3"/>
  <c r="F23" i="3"/>
  <c r="D26" i="3"/>
  <c r="F26" i="3"/>
  <c r="F29" i="3"/>
  <c r="D29" i="3"/>
  <c r="G36" i="1"/>
  <c r="E36" i="1"/>
  <c r="G40" i="1"/>
  <c r="E40" i="1"/>
  <c r="D14" i="3"/>
  <c r="F14" i="3"/>
  <c r="F17" i="3"/>
  <c r="D17" i="3"/>
  <c r="D20" i="3"/>
  <c r="F20" i="3"/>
  <c r="F11" i="3"/>
  <c r="G37" i="1"/>
  <c r="D11" i="3"/>
  <c r="D5" i="3"/>
  <c r="E33" i="1"/>
  <c r="D25" i="3"/>
  <c r="B31" i="3"/>
  <c r="K31" i="3"/>
  <c r="F28" i="3"/>
  <c r="H31" i="3"/>
  <c r="I31" i="3"/>
  <c r="C31" i="3"/>
  <c r="L31" i="3" s="1"/>
  <c r="J31" i="3"/>
  <c r="E31" i="3"/>
  <c r="D8" i="3"/>
  <c r="F8" i="3"/>
  <c r="F13" i="1" l="1"/>
  <c r="C12" i="1"/>
  <c r="D31" i="3"/>
  <c r="F31" i="3"/>
</calcChain>
</file>

<file path=xl/sharedStrings.xml><?xml version="1.0" encoding="utf-8"?>
<sst xmlns="http://schemas.openxmlformats.org/spreadsheetml/2006/main" count="583" uniqueCount="297">
  <si>
    <t>Google-Bewertungen / Referenzen pro Auslieferung</t>
  </si>
  <si>
    <t>Jahr:</t>
  </si>
  <si>
    <t>Auslieferungen</t>
  </si>
  <si>
    <t>Google-Bew.</t>
  </si>
  <si>
    <t>Referenzen</t>
  </si>
  <si>
    <t>Ø Sterne</t>
  </si>
  <si>
    <t>Google-Quote</t>
  </si>
  <si>
    <t>Referenz-Quote</t>
  </si>
  <si>
    <t>Projekte</t>
  </si>
  <si>
    <t>erhalten</t>
  </si>
  <si>
    <t>Sterne</t>
  </si>
  <si>
    <t>in %</t>
  </si>
  <si>
    <t>Zielerreichung</t>
  </si>
  <si>
    <t>KPI</t>
  </si>
  <si>
    <t>Ist-Wert</t>
  </si>
  <si>
    <t>Ziel Q2/2026</t>
  </si>
  <si>
    <t>Ziel Q4/2026</t>
  </si>
  <si>
    <t>Status</t>
  </si>
  <si>
    <t>85 %</t>
  </si>
  <si>
    <t>95 %</t>
  </si>
  <si>
    <t>65 %</t>
  </si>
  <si>
    <t>4,5</t>
  </si>
  <si>
    <t>4,7</t>
  </si>
  <si>
    <t>Auswertung nach Institutionstyp</t>
  </si>
  <si>
    <t>Institutionstyp</t>
  </si>
  <si>
    <t>Anzahl</t>
  </si>
  <si>
    <t>Google</t>
  </si>
  <si>
    <t>G-Quote</t>
  </si>
  <si>
    <t>Referenz</t>
  </si>
  <si>
    <t>R-Quote</t>
  </si>
  <si>
    <t>Feuerwehr (FFW)</t>
  </si>
  <si>
    <t>Sportverein</t>
  </si>
  <si>
    <t>Kulturverein / Theater</t>
  </si>
  <si>
    <t>Musikverein</t>
  </si>
  <si>
    <t>Soziale Einrichtung</t>
  </si>
  <si>
    <t>THW / Hilfsorganisation</t>
  </si>
  <si>
    <t>Gemeinde / Kommune</t>
  </si>
  <si>
    <t>Schule / Kita</t>
  </si>
  <si>
    <t>Sonstige</t>
  </si>
  <si>
    <t>Monatlicher Trend</t>
  </si>
  <si>
    <t>Monat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</si>
  <si>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</si>
  <si>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</si>
  <si>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</si>
  <si>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</si>
  <si>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</si>
  <si>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</si>
  <si>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</si>
  <si>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</si>
  <si>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</si>
  <si>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</si>
  <si>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</si>
  <si>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</si>
  <si>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ROHDATEN – Eingabe (jede Zeile = eine Auslieferung)</t>
  </si>
  <si>
    <t>Pflichtfelder gelb markiert. Dropdowns hinterlegt. Alle Auswertungen basieren auf diesen Rohdaten.</t>
  </si>
  <si>
    <t>Nr.</t>
  </si>
  <si>
    <t>Auslieferungsdatum</t>
  </si>
  <si>
    <t>Projektnummer</t>
  </si>
  <si>
    <t>Vereinsname / Institution</t>
  </si>
  <si>
    <t>Google-Bewertung
erhalten?</t>
  </si>
  <si>
    <t>Sternebewertung
(1–5)</t>
  </si>
  <si>
    <t>Referenz
erhalten?</t>
  </si>
  <si>
    <t>Anmerkungen</t>
  </si>
  <si>
    <t>Jahr</t>
  </si>
  <si>
    <t>Monat-Nr.</t>
  </si>
  <si>
    <t>Freiwillige Feuerwehr Markt Oberschwarzach</t>
  </si>
  <si>
    <t>ja</t>
  </si>
  <si>
    <t>Nein</t>
  </si>
  <si>
    <t>Bewertung ang. Am 25.02.</t>
  </si>
  <si>
    <t>Feuerwehrverein Oßweil e.V.</t>
  </si>
  <si>
    <t>Ja</t>
  </si>
  <si>
    <t>Bernd Rosenkranz</t>
  </si>
  <si>
    <t>Freiwillige Feuerwehr Schneeberg</t>
  </si>
  <si>
    <t>Bewertung erst Feb. 2026</t>
  </si>
  <si>
    <t>2412052785</t>
  </si>
  <si>
    <t>FFW Breitengüßbach e.V.</t>
  </si>
  <si>
    <t>2505052917</t>
  </si>
  <si>
    <t>FFW Windsbach 1868 e.V.</t>
  </si>
  <si>
    <t>FFW Engelsbrand</t>
  </si>
  <si>
    <t>Fabian Kurz</t>
  </si>
  <si>
    <t>Spielvereinigung Kleinkötz e.V.</t>
  </si>
  <si>
    <t>Herr Kraus</t>
  </si>
  <si>
    <t>Freiwillige Feuerwehr Bruck</t>
  </si>
  <si>
    <t>2403052558</t>
  </si>
  <si>
    <t>Freiwillige Feuerwehr Bruckberg</t>
  </si>
  <si>
    <t>Referenz ausstehend</t>
  </si>
  <si>
    <t>DRK KV Freudenstadt e.V.</t>
  </si>
  <si>
    <t>SSV Vogelstang, Mannheim</t>
  </si>
  <si>
    <t>Akademie für Darstellende Kunst - Ulm</t>
  </si>
  <si>
    <t>Sportverein Jagstzell e.V.</t>
  </si>
  <si>
    <t>2407052681</t>
  </si>
  <si>
    <t>Musikverein Bad Cannstatt e.V., Stuttgart</t>
  </si>
  <si>
    <t>2311052463</t>
  </si>
  <si>
    <t>Theater im Palais, Erfurt</t>
  </si>
  <si>
    <t>2502052826</t>
  </si>
  <si>
    <t>THW Helfervereinigung Lüneburg e.V.</t>
  </si>
  <si>
    <t>2 x 5 Sterne</t>
  </si>
  <si>
    <t>2503052854</t>
  </si>
  <si>
    <t>Stadtkapelle/Spielmannszug Pfaffenhofen</t>
  </si>
  <si>
    <t>2405052628</t>
  </si>
  <si>
    <t>SSV Neumünster</t>
  </si>
  <si>
    <t>2402052527</t>
  </si>
  <si>
    <t>Haus Aichele, Beuren</t>
  </si>
  <si>
    <t>Florianskameradschaft Sauggart e.V.</t>
  </si>
  <si>
    <t>Aus Auslieferungsliste 2026 ergänzt</t>
  </si>
  <si>
    <t>2503052855</t>
  </si>
  <si>
    <t>Kleines Theater Bad Godesberg e.V.</t>
  </si>
  <si>
    <t>Google Bewertung angef</t>
  </si>
  <si>
    <t>Familienzentrum minimaxi e.V.</t>
  </si>
  <si>
    <t>VFL Rheingold 1912 Köln-Poll e.V.</t>
  </si>
  <si>
    <t>Kommt KW 9</t>
  </si>
  <si>
    <t>Tinko Kindertheater Gießen e. V.</t>
  </si>
  <si>
    <t>Turn- und Sportverein Schwangau e.V.</t>
  </si>
  <si>
    <t>Google Bewertung kommt am 27.03</t>
  </si>
  <si>
    <t>Sportverein Eberhardzell 1922 e.V.</t>
  </si>
  <si>
    <t xml:space="preserve">FV Tiefenbronn 1920 e.V. </t>
  </si>
  <si>
    <t>Graf von Galen Schule - Heidelberg </t>
  </si>
  <si>
    <t>TSV Pflaumheim 1913 e.V.</t>
  </si>
  <si>
    <t>Theater Gruene Sosse</t>
  </si>
  <si>
    <t>Freie Waldorfschule Vordertaunus</t>
  </si>
  <si>
    <t>Schützenverein Owingen 1921 e.V.</t>
  </si>
  <si>
    <t>Anderssein e.V.</t>
  </si>
  <si>
    <t>Oppumer Verein für notleidende Pferde</t>
  </si>
  <si>
    <t>versuchen die Google Bewertung zu machen</t>
  </si>
  <si>
    <t>SV Hörmannsdorf e.V.</t>
  </si>
  <si>
    <t>Daniel Thomas</t>
  </si>
  <si>
    <t>AWO Betreuungsverein Altenkirchen e.V.</t>
  </si>
  <si>
    <t>Google Bewertung angef.</t>
  </si>
  <si>
    <t>Freiwillige Feuerwehr Waldorfhäslach</t>
  </si>
  <si>
    <t>kommmt Bewertung - Tankgutschein</t>
  </si>
  <si>
    <t>StadtTheater Bruneck</t>
  </si>
  <si>
    <t>Freiwillige Feuerwehr Ottmaring e.V</t>
  </si>
  <si>
    <t>kommt Bewertung - Tankgutschein</t>
  </si>
  <si>
    <t>Kreisverkehrswacht Kempten</t>
  </si>
  <si>
    <t>Martin Braun</t>
  </si>
  <si>
    <t>Freiwillige Feuerwehr Ueberau e.V</t>
  </si>
  <si>
    <t>Google Bewertung angefordert</t>
  </si>
  <si>
    <t>Förderverein der FFW Selpin</t>
  </si>
  <si>
    <t>schickt Google Bewertung</t>
  </si>
  <si>
    <t>THW Helfervereinigung Roding e.V</t>
  </si>
  <si>
    <t>Constanin Eckl</t>
  </si>
  <si>
    <t>MBB SG Manching e. V.</t>
  </si>
  <si>
    <t>Herr Lettenbauer</t>
  </si>
  <si>
    <t>Freiwillige Feuerwehr Oberhinkofen</t>
  </si>
  <si>
    <t xml:space="preserve">Förderverein der FFW Waghäusel </t>
  </si>
  <si>
    <t>Moritz Müller</t>
  </si>
  <si>
    <t>Stadt Göttingen - Kultur/Museum</t>
  </si>
  <si>
    <t>Herr Beume</t>
  </si>
  <si>
    <t>1. FC Weidach e.V.</t>
  </si>
  <si>
    <t>SV Eichenried e.V.</t>
  </si>
  <si>
    <t>Herr Huber</t>
  </si>
  <si>
    <t>Freiwillige Feuerwehr Althengstett</t>
  </si>
  <si>
    <t>Michael Baumann</t>
  </si>
  <si>
    <t>Stadtjugendfeuerwehr Hessisch Oldendorf</t>
  </si>
  <si>
    <t>Sascha Eldracher</t>
  </si>
  <si>
    <t>Freiwillige Feuerwehr Altenstadt 1908 eV</t>
  </si>
  <si>
    <t>Kevin Fischer</t>
  </si>
  <si>
    <t>TSG Reutlingen</t>
  </si>
  <si>
    <t>Herr Kohler</t>
  </si>
  <si>
    <t>Feuer und Flamme Theater</t>
  </si>
  <si>
    <t>Frau Klinger</t>
  </si>
  <si>
    <t>SV Grafenhausen 1929 e.V.</t>
  </si>
  <si>
    <t>angefragt</t>
  </si>
  <si>
    <t>Herr Santo</t>
  </si>
  <si>
    <t>TSG Rot-Weiß 90 Kostebrau e.V.</t>
  </si>
  <si>
    <t>Reklamation Folien/Schreibfehler in Klärung durch Projektzentral</t>
  </si>
  <si>
    <t>FV Nußloch 1910 e.V</t>
  </si>
  <si>
    <t>Stephan Anweiler</t>
  </si>
  <si>
    <t>Altes Schauspielhaus und Komodie im Marq</t>
  </si>
  <si>
    <t>Ines Pieper</t>
  </si>
  <si>
    <t>Freiwillige Feuerwehr der Stadt Selb</t>
  </si>
  <si>
    <t>Andreas Friedel</t>
  </si>
  <si>
    <t>FFW Heigenbrücken e.V.</t>
  </si>
  <si>
    <t>Jörg Hackel</t>
  </si>
  <si>
    <t>Freiwillige Feuerwehr Neuenbuch</t>
  </si>
  <si>
    <t>Jens Greulich</t>
  </si>
  <si>
    <t>Theater Ulm</t>
  </si>
  <si>
    <t>Herr Vamvakas</t>
  </si>
  <si>
    <t>Birkenhof e.V</t>
  </si>
  <si>
    <t>Herr Mentzen</t>
  </si>
  <si>
    <t xml:space="preserve">Förderverein Grundschule Großglattbach </t>
  </si>
  <si>
    <t>Frau Hansen</t>
  </si>
  <si>
    <t>Sozialstation der ev. + kath. Kirchen-</t>
  </si>
  <si>
    <t>Tanja Karcher</t>
  </si>
  <si>
    <t>Musikzug TSV 1895 Burgfarnbach e.V.</t>
  </si>
  <si>
    <t>Herr Dr. Ludwig</t>
  </si>
  <si>
    <t xml:space="preserve">Mainzer Kinder- und Jugendtheater e.V. </t>
  </si>
  <si>
    <t>MONATSAUSWERTUNG – automatisch berechnet (basiert auf Rohdaten)</t>
  </si>
  <si>
    <t>Alle Werte werden per Formel aus dem Rohdaten-Sheet berechnet. Keine manuelle Eingabe nötig.</t>
  </si>
  <si>
    <t>Monat
(MM/JJJJ)</t>
  </si>
  <si>
    <t>Anzahl
Auslieferungen</t>
  </si>
  <si>
    <t>Anzahl
Google-Bew.</t>
  </si>
  <si>
    <t>Google-Bew.
Quote</t>
  </si>
  <si>
    <t>Anzahl
Referenzen</t>
  </si>
  <si>
    <t>Referenz-
Quote</t>
  </si>
  <si>
    <t>Ø Sterne-
bewertung</t>
  </si>
  <si>
    <t>Anzahl
5-Sterne</t>
  </si>
  <si>
    <t>Anzahl
4-Sterne</t>
  </si>
  <si>
    <t>Anzahl
3-Sterne</t>
  </si>
  <si>
    <t>Anzahl
≤2-Sterne</t>
  </si>
  <si>
    <t>Antwort-
Quote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</si>
  <si>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</si>
  <si>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</si>
  <si>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</si>
  <si>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</si>
  <si>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</si>
  <si>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</si>
  <si>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</si>
  <si>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</si>
  <si>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</si>
  <si>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</si>
  <si>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</si>
  <si>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</si>
  <si>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</si>
  <si>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</si>
  <si>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</si>
  <si>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01/2027</t>
  </si>
  <si>
    <t>02/2027</t>
  </si>
  <si>
    <t>03/2027</t>
  </si>
  <si>
    <t>04/2027</t>
  </si>
  <si>
    <t>05/2027</t>
  </si>
  <si>
    <t>06/2027</t>
  </si>
  <si>
    <t>07/2027</t>
  </si>
  <si>
    <t>08/2027</t>
  </si>
  <si>
    <t>09/2027</t>
  </si>
  <si>
    <t>10/2027</t>
  </si>
  <si>
    <t>11/2027</t>
  </si>
  <si>
    <t>12/2027</t>
  </si>
  <si>
    <t>GESAMT</t>
  </si>
  <si>
    <t>SEGMENTANALYSE – automatisch nach Institutionstyp</t>
  </si>
  <si>
    <t>Google-Bew.
erhalten</t>
  </si>
  <si>
    <t>Google-
Quote</t>
  </si>
  <si>
    <t>Referenzen
erhalten</t>
  </si>
  <si>
    <t>Freiwillige Feuerwehr Birstein- Sotzbach</t>
  </si>
  <si>
    <t>Yannik Piston</t>
  </si>
  <si>
    <t>FV Olympia Laupheim 1904 e.V</t>
  </si>
  <si>
    <t>Dieter Seidler</t>
  </si>
  <si>
    <t>Freiwillige Feuerwehr Moosbach</t>
  </si>
  <si>
    <t>Völk</t>
  </si>
  <si>
    <t>Freiwillige Feuerwehr Kettershausen</t>
  </si>
  <si>
    <t>Freiwillige Feuerwehr der Stadt Wörgl</t>
  </si>
  <si>
    <t>Patrick Zingler</t>
  </si>
  <si>
    <t>kommt Google Bewertung</t>
  </si>
  <si>
    <t>Steinbacher</t>
  </si>
  <si>
    <t>Freiwillige Feuerwehr Althegnenberg e.V.</t>
  </si>
  <si>
    <t>Herr Federmann</t>
  </si>
  <si>
    <t xml:space="preserve">Verein der Hundefreunde 1908 Pfungstadt </t>
  </si>
  <si>
    <t>Herr Scharnagel</t>
  </si>
  <si>
    <t>Tankgutschein an Insti versendet</t>
  </si>
  <si>
    <t>nochmal Google Bewertung gesendet 12.06.</t>
  </si>
  <si>
    <t>Deutsche Fussball Akademie</t>
  </si>
  <si>
    <t>Hr. Dr. Thissen</t>
  </si>
  <si>
    <t>angefofdert 16.06.</t>
  </si>
  <si>
    <t>Feuerwehrverein Lomersheim e.V</t>
  </si>
  <si>
    <t>Robin Kain</t>
  </si>
  <si>
    <t>Freiwillige Feuerwehr Unterbiberg</t>
  </si>
  <si>
    <t xml:space="preserve">Tiergnadenhof und Jugendfarm Duisburg </t>
  </si>
  <si>
    <t>Herr Wilden</t>
  </si>
  <si>
    <t>TSB Heilbronn-Horkheim Handball e.V.</t>
  </si>
  <si>
    <t>angefofdert 18.06.</t>
  </si>
  <si>
    <t>Rosenberger</t>
  </si>
  <si>
    <t>Herr Zasche</t>
  </si>
  <si>
    <t>angefordert 18.06.</t>
  </si>
  <si>
    <t>Theaterschiff-Heilbronn</t>
  </si>
  <si>
    <t>Stadtjugendring Ulm e.V</t>
  </si>
  <si>
    <t>Achim Spannagel</t>
  </si>
  <si>
    <t>Volker Höpken</t>
  </si>
  <si>
    <t>nochmal Google Bewertung angefordert 23.06.</t>
  </si>
  <si>
    <t>Erinnerung Google Bewertung 23.06.</t>
  </si>
  <si>
    <t>Kreiskrankenhaus Schrobenhausen GmbH</t>
  </si>
  <si>
    <t>Herr Zein</t>
  </si>
  <si>
    <t>angefordert am 23.06.</t>
  </si>
  <si>
    <t>Narrenverein Schlossberghexen Herrenberg</t>
  </si>
  <si>
    <t>Steffan, Tobias</t>
  </si>
  <si>
    <t>FSV Wörth 1927 e.V</t>
  </si>
  <si>
    <t>Fechner, Manuel</t>
  </si>
  <si>
    <t>Erinnerung Google Bewertung 30.06.</t>
  </si>
  <si>
    <t>Google Bewertung angefordert 30.06.</t>
  </si>
  <si>
    <t>angefordert 16.06.</t>
  </si>
  <si>
    <t>Tel. 30.06.2026</t>
  </si>
  <si>
    <t>erhalten am 30.06.</t>
  </si>
  <si>
    <t>Kreisjugendring Schleswig-Flensburg e.V.</t>
  </si>
  <si>
    <t>Geerts, Phillip</t>
  </si>
  <si>
    <t xml:space="preserve">Stadt darf nicht </t>
  </si>
  <si>
    <t xml:space="preserve"> </t>
  </si>
  <si>
    <t>angefordert über Nicole</t>
  </si>
  <si>
    <t>FFW Oberschleichach</t>
  </si>
  <si>
    <t>Goolebewerung angefordert 03.07.</t>
  </si>
  <si>
    <t>Marco Speckner</t>
  </si>
  <si>
    <t>erhalten am 06.07.</t>
  </si>
  <si>
    <t>Tankgutschein an Inti 07-07</t>
  </si>
  <si>
    <t>Herr Belz schickt alle 3 offenen Punkte 07.07.</t>
  </si>
  <si>
    <t>F</t>
  </si>
  <si>
    <t>Militärverein 1856 Pappenheim</t>
  </si>
  <si>
    <t>Herr Schöppl</t>
  </si>
  <si>
    <t>Quattfo e.V. Forchheim</t>
  </si>
  <si>
    <t>FelixGröger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</si>
</sst>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.mm\.yyyy"/>
  </numFmts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20"/>
      <color rgb="FFFFFFFF"/>
      <name val="Arial"/>
      <charset val="1"/>
    </font>
    <font>
      <sz val="9"/>
      <color rgb="FFA0B4C8"/>
      <name val="Arial"/>
      <charset val="1"/>
    </font>
    <font>
      <b/>
      <sz val="13"/>
      <color rgb="FFFFFFFF"/>
      <name val="Arial"/>
      <charset val="1"/>
    </font>
    <font>
      <sz val="11"/>
      <color rgb="FFFFFFFF"/>
      <name val="Arial"/>
      <charset val="1"/>
    </font>
    <font>
      <b/>
      <sz val="14"/>
      <color rgb="FF003366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sz val="10"/>
      <color rgb="FF333333"/>
      <name val="Arial"/>
      <charset val="1"/>
    </font>
    <font>
      <b/>
      <sz val="10"/>
      <color rgb="FF003366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243656"/>
      </patternFill>
    </fill>
    <fill>
      <patternFill patternType="solid">
        <fgColor rgb="FF1A3A2A"/>
        <bgColor rgb="FF333333"/>
      </patternFill>
    </fill>
    <fill>
      <patternFill patternType="solid">
        <fgColor rgb="FF2C4066"/>
        <bgColor rgb="FF243656"/>
      </patternFill>
    </fill>
    <fill>
      <patternFill patternType="solid">
        <fgColor rgb="FF243656"/>
        <bgColor rgb="FF2C4066"/>
      </patternFill>
    </fill>
    <fill>
      <patternFill patternType="solid">
        <fgColor rgb="FFD5E8F0"/>
        <bgColor rgb="FFD4EDDA"/>
      </patternFill>
    </fill>
    <fill>
      <patternFill patternType="solid">
        <fgColor rgb="FFF2F2F2"/>
        <bgColor rgb="FFEBF5FB"/>
      </patternFill>
    </fill>
    <fill>
      <patternFill patternType="solid">
        <fgColor rgb="FF003366"/>
        <bgColor rgb="FF1B2A4A"/>
      </patternFill>
    </fill>
    <fill>
      <patternFill patternType="solid">
        <fgColor rgb="FFE67E22"/>
        <bgColor rgb="FFFF9900"/>
      </patternFill>
    </fill>
    <fill>
      <patternFill patternType="solid">
        <fgColor rgb="FFEBF5FB"/>
        <bgColor rgb="FFF2F2F2"/>
      </patternFill>
    </fill>
    <fill>
      <patternFill patternType="solid">
        <fgColor rgb="FFFFFFFF"/>
        <bgColor rgb="FFF2F2F2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 style="thin">
        <color rgb="FFCCCCCC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2" fontId="5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164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64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2" fontId="8" fillId="5" borderId="0" xfId="0" applyNumberFormat="1" applyFont="1" applyFill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164" fontId="12" fillId="10" borderId="1" xfId="0" applyNumberFormat="1" applyFont="1" applyFill="1" applyBorder="1" applyAlignment="1">
      <alignment horizontal="center" vertical="center"/>
    </xf>
    <xf numFmtId="2" fontId="12" fillId="10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164" fontId="11" fillId="8" borderId="1" xfId="0" applyNumberFormat="1" applyFont="1" applyFill="1" applyBorder="1" applyAlignment="1">
      <alignment horizontal="center" vertical="center"/>
    </xf>
    <xf numFmtId="2" fontId="11" fillId="8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2" fillId="11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left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1" fillId="9" borderId="1" xfId="0" applyFont="1" applyFill="1" applyBorder="1" applyAlignment="1">
      <alignment vertical="center" wrapText="1"/>
    </xf>
    <xf numFmtId="0" fontId="12" fillId="10" borderId="1" xfId="0" applyFont="1" applyFill="1" applyBorder="1" applyAlignment="1">
      <alignment vertical="center"/>
    </xf>
    <xf numFmtId="0" fontId="12" fillId="11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2" fillId="10" borderId="3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wrapText="1"/>
    </xf>
    <xf numFmtId="165" fontId="12" fillId="10" borderId="1" xfId="0" applyNumberFormat="1" applyFont="1" applyFill="1" applyBorder="1" applyAlignment="1">
      <alignment horizontal="center"/>
    </xf>
    <xf numFmtId="165" fontId="12" fillId="11" borderId="1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10" fillId="7" borderId="0" xfId="0" applyFont="1" applyFill="1"/>
    <xf numFmtId="0" fontId="0" fillId="0" borderId="0" xfId="0" applyFill="1" applyBorder="1" applyAlignment="1">
      <alignment horizontal="center" vertical="center"/>
    </xf>
  </cellXfs>
  <cellStyles count="1">
    <cellStyle name="Standard" xfId="0" builtinId="0"/>
  </cellStyles>
  <dxfs count="14"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  <dxf>
      <font>
        <b/>
        <sz val="10"/>
        <color rgb="FFC0392B"/>
        <name val="Arial"/>
        <charset val="1"/>
      </font>
      <fill>
        <patternFill>
          <bgColor rgb="FFF8D7DA"/>
        </patternFill>
      </fill>
    </dxf>
    <dxf>
      <font>
        <b/>
        <sz val="10"/>
        <color rgb="FF27AE60"/>
        <name val="Arial"/>
        <charset val="1"/>
      </font>
      <fill>
        <patternFill>
          <bgColor rgb="FFD4ED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243656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F0"/>
      <rgbColor rgb="FFD4EDDA"/>
      <rgbColor rgb="FFF2F2F2"/>
      <rgbColor rgb="FFA0B4C8"/>
      <rgbColor rgb="FFFF99CC"/>
      <rgbColor rgb="FFCC99FF"/>
      <rgbColor rgb="FFF8D7DA"/>
      <rgbColor rgb="FF2E75B6"/>
      <rgbColor rgb="FF33CCCC"/>
      <rgbColor rgb="FF99CC00"/>
      <rgbColor rgb="FFFFCC00"/>
      <rgbColor rgb="FFFF9900"/>
      <rgbColor rgb="FFE67E22"/>
      <rgbColor rgb="FF666666"/>
      <rgbColor rgb="FF969696"/>
      <rgbColor rgb="FF003366"/>
      <rgbColor rgb="FF27AE60"/>
      <rgbColor rgb="FF1B2A4A"/>
      <rgbColor rgb="FF1A3A2A"/>
      <rgbColor rgb="FFC0392B"/>
      <rgbColor rgb="FF993366"/>
      <rgbColor rgb="FF2C406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G44"/>
  <sheetViews>
    <sheetView showGridLines="0" zoomScaleNormal="100" workbookViewId="0">
      <pane ySplit="4" topLeftCell="A50" activePane="bottomLeft" state="frozen"/>
      <selection pane="bottomLeft" activeCell="C4" sqref="C4:D4"/>
    </sheetView>
  </sheetViews>
  <sheetFormatPr baseColWidth="10" defaultColWidth="8.7109375" defaultRowHeight="15" x14ac:dyDescent="0.25"/>
  <cols>
    <col min="1" max="1" width="3" customWidth="1"/>
    <col min="2" max="2" width="30" customWidth="1"/>
    <col min="3" max="7" width="16" customWidth="1"/>
  </cols>
  <sheetData>
    <row r="1" spans="1:7" ht="9.75" customHeight="1" x14ac:dyDescent="0.25">
      <c r="A1" s="1"/>
      <c r="B1" s="1"/>
      <c r="C1" s="1"/>
      <c r="D1" s="1"/>
      <c r="E1" s="1"/>
      <c r="F1" s="1"/>
      <c r="G1" s="1"/>
    </row>
    <row r="2" spans="1:7" ht="34.5" customHeight="1" x14ac:dyDescent="0.25">
      <c r="A2" s="1"/>
      <c r="B2" s="50" t="s">
        <v>0</v>
      </c>
      <c r="C2" s="50"/>
      <c r="D2" s="50"/>
      <c r="E2" s="50"/>
      <c r="F2" s="50"/>
      <c r="G2" s="50"/>
    </row>
    <row r="3" spans="1:7" ht="9.75" customHeight="1" x14ac:dyDescent="0.25">
      <c r="A3" s="1"/>
      <c r="B3" s="1"/>
      <c r="C3" s="1"/>
      <c r="D3" s="1"/>
      <c r="E3" s="1"/>
      <c r="F3" s="1"/>
      <c r="G3" s="1"/>
    </row>
    <row r="4" spans="1:7" ht="27.75" customHeight="1" x14ac:dyDescent="0.25">
      <c r="A4" s="1"/>
      <c r="B4" s="2" t="s">
        <v>1</v>
      </c>
      <c r="C4" s="51">
        <v>2026</v>
      </c>
      <c r="D4" s="51"/>
      <c r="E4" s="1"/>
      <c r="F4" s="1"/>
      <c r="G4" s="1"/>
    </row>
    <row r="5" spans="1:7" ht="9.75" customHeight="1" x14ac:dyDescent="0.25">
      <c r="A5" s="1"/>
      <c r="B5" s="1"/>
      <c r="C5" s="1"/>
      <c r="D5" s="1"/>
      <c r="E5" s="1"/>
      <c r="F5" s="1"/>
      <c r="G5" s="1"/>
    </row>
    <row r="6" spans="1:7" ht="18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</row>
    <row r="7" spans="1:7" ht="37.5" customHeight="1" x14ac:dyDescent="0.25">
      <c r="A7" s="1"/>
      <c r="B7" s="4">
        <f>IF($C$4="Alle",COUNTA(Rohdaten!B:B)-1,COUNTIF(Rohdaten!J:J,$C$4))</f>
        <v>78</v>
      </c>
      <c r="C7" s="4">
        <f>IF($C$4="Alle",COUNTIF(Rohdaten!F:F,"Ja"),COUNTIFS(Rohdaten!F:F,"Ja",Rohdaten!J:J,$C$4))</f>
        <v>43</v>
      </c>
      <c r="D7" s="4">
        <f>IF($C$4="Alle",COUNTIF(Rohdaten!H:H,"Ja"),COUNTIFS(Rohdaten!H:H,"Ja",Rohdaten!J:J,$C$4))</f>
        <v>67</v>
      </c>
      <c r="E7" s="5">
        <f>IF(C7=0,"-",IF($C$4="Alle",AVERAGEIF(Rohdaten!F:F,"Ja",Rohdaten!G:G),AVERAGEIFS(Rohdaten!G:G,Rohdaten!F:F,"Ja",Rohdaten!J:J,$C$4)))</f>
        <v>4.9767441860465116</v>
      </c>
      <c r="F7" s="6">
        <f>IF(B7=0,"-",C7/B7)</f>
        <v>0.55128205128205132</v>
      </c>
      <c r="G7" s="6">
        <f>IF(B7=0,"-",D7/B7)</f>
        <v>0.85897435897435892</v>
      </c>
    </row>
    <row r="8" spans="1:7" ht="18" customHeight="1" x14ac:dyDescent="0.25">
      <c r="A8" s="1"/>
      <c r="B8" s="7" t="s">
        <v>8</v>
      </c>
      <c r="C8" s="7" t="s">
        <v>9</v>
      </c>
      <c r="D8" s="7" t="s">
        <v>9</v>
      </c>
      <c r="E8" s="7" t="s">
        <v>10</v>
      </c>
      <c r="F8" s="7" t="s">
        <v>11</v>
      </c>
      <c r="G8" s="7" t="s">
        <v>11</v>
      </c>
    </row>
    <row r="9" spans="1:7" ht="15" customHeight="1" x14ac:dyDescent="0.25">
      <c r="A9" s="1"/>
      <c r="B9" s="1"/>
      <c r="C9" s="1"/>
      <c r="D9" s="1"/>
      <c r="E9" s="1"/>
      <c r="F9" s="1"/>
      <c r="G9" s="1"/>
    </row>
    <row r="10" spans="1:7" ht="21.75" customHeight="1" x14ac:dyDescent="0.25">
      <c r="A10" s="1"/>
      <c r="B10" s="52" t="s">
        <v>12</v>
      </c>
      <c r="C10" s="52"/>
      <c r="D10" s="52"/>
      <c r="E10" s="52"/>
      <c r="F10" s="52"/>
      <c r="G10" s="52"/>
    </row>
    <row r="11" spans="1:7" ht="18" customHeight="1" x14ac:dyDescent="0.25">
      <c r="A11" s="1"/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/>
    </row>
    <row r="12" spans="1:7" x14ac:dyDescent="0.25">
      <c r="A12" s="1"/>
      <c r="B12" s="8" t="s">
        <v>6</v>
      </c>
      <c r="C12" s="9">
        <f>F7</f>
        <v>0.55128205128205132</v>
      </c>
      <c r="D12" s="10" t="s">
        <v>18</v>
      </c>
      <c r="E12" s="10" t="s">
        <v>19</v>
      </c>
      <c r="F12" s="8" t="str">
        <f>IF(F7&gt;=0.85,"🟢 Ziel erreicht",IF(F7&gt;=0.7,"🟡 Auf Kurs","🔴 Handlungsbedarf"))</f>
        <v>🔴 Handlungsbedarf</v>
      </c>
      <c r="G12" s="10"/>
    </row>
    <row r="13" spans="1:7" x14ac:dyDescent="0.25">
      <c r="A13" s="1"/>
      <c r="B13" s="11" t="s">
        <v>7</v>
      </c>
      <c r="C13" s="12">
        <f>G7</f>
        <v>0.85897435897435892</v>
      </c>
      <c r="D13" s="13" t="s">
        <v>20</v>
      </c>
      <c r="E13" s="13" t="s">
        <v>18</v>
      </c>
      <c r="F13" s="11" t="str">
        <f>IF(G7&gt;=0.65,"🟢 Ziel erreicht",IF(G7&gt;=0.45,"🟡 Auf Kurs","🔴 Handlungsbedarf"))</f>
        <v>🟢 Ziel erreicht</v>
      </c>
      <c r="G13" s="13"/>
    </row>
    <row r="14" spans="1:7" x14ac:dyDescent="0.25">
      <c r="A14" s="1"/>
      <c r="B14" s="8" t="s">
        <v>5</v>
      </c>
      <c r="C14" s="14">
        <f>E7</f>
        <v>4.9767441860465116</v>
      </c>
      <c r="D14" s="10" t="s">
        <v>21</v>
      </c>
      <c r="E14" s="10" t="s">
        <v>22</v>
      </c>
      <c r="F14" s="8" t="str">
        <f>IF(E7&gt;=4.5,"🟢 Ziel erreicht",IF(E7&gt;=4,"🟡 Auf Kurs","🔴 Handlungsbedarf"))</f>
        <v>🟢 Ziel erreicht</v>
      </c>
      <c r="G14" s="10"/>
    </row>
    <row r="15" spans="1:7" ht="15" customHeight="1" x14ac:dyDescent="0.25">
      <c r="A15" s="1"/>
      <c r="B15" s="1"/>
      <c r="C15" s="1"/>
      <c r="D15" s="1"/>
      <c r="E15" s="1"/>
      <c r="F15" s="1"/>
      <c r="G15" s="1"/>
    </row>
    <row r="16" spans="1:7" ht="21.75" customHeight="1" x14ac:dyDescent="0.25">
      <c r="A16" s="1"/>
      <c r="B16" s="52" t="s">
        <v>23</v>
      </c>
      <c r="C16" s="52"/>
      <c r="D16" s="52"/>
      <c r="E16" s="52"/>
      <c r="F16" s="52"/>
      <c r="G16" s="52"/>
    </row>
    <row r="17" spans="1:7" x14ac:dyDescent="0.25">
      <c r="A17" s="1"/>
      <c r="B17" s="3" t="s">
        <v>24</v>
      </c>
      <c r="C17" s="3" t="s">
        <v>25</v>
      </c>
      <c r="D17" s="3" t="s">
        <v>26</v>
      </c>
      <c r="E17" s="3" t="s">
        <v>27</v>
      </c>
      <c r="F17" s="3" t="s">
        <v>28</v>
      </c>
      <c r="G17" s="3" t="s">
        <v>29</v>
      </c>
    </row>
    <row r="18" spans="1:7" x14ac:dyDescent="0.25">
      <c r="A18" s="1"/>
      <c r="B18" s="8" t="s">
        <v>30</v>
      </c>
      <c r="C18" s="10">
        <f>IF($C$4="Alle",COUNTIF(Rohdaten!E:E,B18),COUNTIFS(Rohdaten!E:E,B18,Rohdaten!J:J,$C$4))</f>
        <v>20</v>
      </c>
      <c r="D18" s="10">
        <f>IF($C$4="Alle",COUNTIFS(Rohdaten!E:E,B18,Rohdaten!F:F,"Ja"),COUNTIFS(Rohdaten!E:E,B18,Rohdaten!F:F,"Ja",Rohdaten!J:J,$C$4))</f>
        <v>10</v>
      </c>
      <c r="E18" s="9">
        <f t="shared" ref="E18:E26" si="0">IF(C18=0,"-",D18/C18)</f>
        <v>0.5</v>
      </c>
      <c r="F18" s="10">
        <f>IF($C$4="Alle",COUNTIFS(Rohdaten!E:E,B18,Rohdaten!H:H,"Ja"),COUNTIFS(Rohdaten!E:E,B18,Rohdaten!H:H,"Ja",Rohdaten!J:J,$C$4))</f>
        <v>18</v>
      </c>
      <c r="G18" s="9">
        <f t="shared" ref="G18:G26" si="1">IF(C18=0,"-",F18/C18)</f>
        <v>0.9</v>
      </c>
    </row>
    <row r="19" spans="1:7" x14ac:dyDescent="0.25">
      <c r="A19" s="1"/>
      <c r="B19" s="11" t="s">
        <v>31</v>
      </c>
      <c r="C19" s="13">
        <f>IF($C$4="Alle",COUNTIF(Rohdaten!E:E,B19),COUNTIFS(Rohdaten!E:E,B19,Rohdaten!J:J,$C$4))</f>
        <v>20</v>
      </c>
      <c r="D19" s="13">
        <f>IF($C$4="Alle",COUNTIFS(Rohdaten!E:E,B19,Rohdaten!F:F,"Ja"),COUNTIFS(Rohdaten!E:E,B19,Rohdaten!F:F,"Ja",Rohdaten!J:J,$C$4))</f>
        <v>6</v>
      </c>
      <c r="E19" s="12">
        <f t="shared" si="0"/>
        <v>0.3</v>
      </c>
      <c r="F19" s="13">
        <f>IF($C$4="Alle",COUNTIFS(Rohdaten!E:E,B19,Rohdaten!H:H,"Ja"),COUNTIFS(Rohdaten!E:E,B19,Rohdaten!H:H,"Ja",Rohdaten!J:J,$C$4))</f>
        <v>13</v>
      </c>
      <c r="G19" s="12">
        <f t="shared" si="1"/>
        <v>0.65</v>
      </c>
    </row>
    <row r="20" spans="1:7" x14ac:dyDescent="0.25">
      <c r="A20" s="1"/>
      <c r="B20" s="8" t="s">
        <v>32</v>
      </c>
      <c r="C20" s="10">
        <f>IF($C$4="Alle",COUNTIF(Rohdaten!E:E,B20),COUNTIFS(Rohdaten!E:E,B20,Rohdaten!J:J,$C$4))</f>
        <v>13</v>
      </c>
      <c r="D20" s="10">
        <f>IF($C$4="Alle",COUNTIFS(Rohdaten!E:E,B20,Rohdaten!F:F,"Ja"),COUNTIFS(Rohdaten!E:E,B20,Rohdaten!F:F,"Ja",Rohdaten!J:J,$C$4))</f>
        <v>8</v>
      </c>
      <c r="E20" s="9">
        <f t="shared" si="0"/>
        <v>0.61538461538461542</v>
      </c>
      <c r="F20" s="10">
        <f>IF($C$4="Alle",COUNTIFS(Rohdaten!E:E,B20,Rohdaten!H:H,"Ja"),COUNTIFS(Rohdaten!E:E,B20,Rohdaten!H:H,"Ja",Rohdaten!J:J,$C$4))</f>
        <v>12</v>
      </c>
      <c r="G20" s="9">
        <f t="shared" si="1"/>
        <v>0.92307692307692313</v>
      </c>
    </row>
    <row r="21" spans="1:7" x14ac:dyDescent="0.25">
      <c r="A21" s="1"/>
      <c r="B21" s="11" t="s">
        <v>33</v>
      </c>
      <c r="C21" s="13">
        <f>IF($C$4="Alle",COUNTIF(Rohdaten!E:E,B21),COUNTIFS(Rohdaten!E:E,B21,Rohdaten!J:J,$C$4))</f>
        <v>3</v>
      </c>
      <c r="D21" s="13">
        <f>IF($C$4="Alle",COUNTIFS(Rohdaten!E:E,B21,Rohdaten!F:F,"Ja"),COUNTIFS(Rohdaten!E:E,B21,Rohdaten!F:F,"Ja",Rohdaten!J:J,$C$4))</f>
        <v>3</v>
      </c>
      <c r="E21" s="12">
        <f t="shared" si="0"/>
        <v>1</v>
      </c>
      <c r="F21" s="13">
        <f>IF($C$4="Alle",COUNTIFS(Rohdaten!E:E,B21,Rohdaten!H:H,"Ja"),COUNTIFS(Rohdaten!E:E,B21,Rohdaten!H:H,"Ja",Rohdaten!J:J,$C$4))</f>
        <v>3</v>
      </c>
      <c r="G21" s="12">
        <f t="shared" si="1"/>
        <v>1</v>
      </c>
    </row>
    <row r="22" spans="1:7" x14ac:dyDescent="0.25">
      <c r="A22" s="1"/>
      <c r="B22" s="8" t="s">
        <v>34</v>
      </c>
      <c r="C22" s="10">
        <f>IF($C$4="Alle",COUNTIF(Rohdaten!E:E,B22),COUNTIFS(Rohdaten!E:E,B22,Rohdaten!J:J,$C$4))</f>
        <v>8</v>
      </c>
      <c r="D22" s="10">
        <f>IF($C$4="Alle",COUNTIFS(Rohdaten!E:E,B22,Rohdaten!F:F,"Ja"),COUNTIFS(Rohdaten!E:E,B22,Rohdaten!F:F,"Ja",Rohdaten!J:J,$C$4))</f>
        <v>5</v>
      </c>
      <c r="E22" s="9">
        <f t="shared" si="0"/>
        <v>0.625</v>
      </c>
      <c r="F22" s="10">
        <f>IF($C$4="Alle",COUNTIFS(Rohdaten!E:E,B22,Rohdaten!H:H,"Ja"),COUNTIFS(Rohdaten!E:E,B22,Rohdaten!H:H,"Ja",Rohdaten!J:J,$C$4))</f>
        <v>7</v>
      </c>
      <c r="G22" s="9">
        <f t="shared" si="1"/>
        <v>0.875</v>
      </c>
    </row>
    <row r="23" spans="1:7" x14ac:dyDescent="0.25">
      <c r="A23" s="1"/>
      <c r="B23" s="11" t="s">
        <v>35</v>
      </c>
      <c r="C23" s="13">
        <f>IF($C$4="Alle",COUNTIF(Rohdaten!E:E,B23),COUNTIFS(Rohdaten!E:E,B23,Rohdaten!J:J,$C$4))</f>
        <v>4</v>
      </c>
      <c r="D23" s="13">
        <f>IF($C$4="Alle",COUNTIFS(Rohdaten!E:E,B23,Rohdaten!F:F,"Ja"),COUNTIFS(Rohdaten!E:E,B23,Rohdaten!F:F,"Ja",Rohdaten!J:J,$C$4))</f>
        <v>4</v>
      </c>
      <c r="E23" s="12">
        <f t="shared" si="0"/>
        <v>1</v>
      </c>
      <c r="F23" s="13">
        <f>IF($C$4="Alle",COUNTIFS(Rohdaten!E:E,B23,Rohdaten!H:H,"Ja"),COUNTIFS(Rohdaten!E:E,B23,Rohdaten!H:H,"Ja",Rohdaten!J:J,$C$4))</f>
        <v>4</v>
      </c>
      <c r="G23" s="12">
        <f t="shared" si="1"/>
        <v>1</v>
      </c>
    </row>
    <row r="24" spans="1:7" x14ac:dyDescent="0.25">
      <c r="A24" s="1"/>
      <c r="B24" s="8" t="s">
        <v>36</v>
      </c>
      <c r="C24" s="10">
        <f>IF($C$4="Alle",COUNTIF(Rohdaten!E:E,B24),COUNTIFS(Rohdaten!E:E,B24,Rohdaten!J:J,$C$4))</f>
        <v>1</v>
      </c>
      <c r="D24" s="10">
        <f>IF($C$4="Alle",COUNTIFS(Rohdaten!E:E,B24,Rohdaten!F:F,"Ja"),COUNTIFS(Rohdaten!E:E,B24,Rohdaten!F:F,"Ja",Rohdaten!J:J,$C$4))</f>
        <v>0</v>
      </c>
      <c r="E24" s="9">
        <f t="shared" si="0"/>
        <v>0</v>
      </c>
      <c r="F24" s="10">
        <f>IF($C$4="Alle",COUNTIFS(Rohdaten!E:E,B24,Rohdaten!H:H,"Ja"),COUNTIFS(Rohdaten!E:E,B24,Rohdaten!H:H,"Ja",Rohdaten!J:J,$C$4))</f>
        <v>1</v>
      </c>
      <c r="G24" s="9">
        <f t="shared" si="1"/>
        <v>1</v>
      </c>
    </row>
    <row r="25" spans="1:7" x14ac:dyDescent="0.25">
      <c r="A25" s="1"/>
      <c r="B25" s="11" t="s">
        <v>37</v>
      </c>
      <c r="C25" s="13">
        <f>IF($C$4="Alle",COUNTIF(Rohdaten!E:E,B25),COUNTIFS(Rohdaten!E:E,B25,Rohdaten!J:J,$C$4))</f>
        <v>3</v>
      </c>
      <c r="D25" s="13">
        <f>IF($C$4="Alle",COUNTIFS(Rohdaten!E:E,B25,Rohdaten!F:F,"Ja"),COUNTIFS(Rohdaten!E:E,B25,Rohdaten!F:F,"Ja",Rohdaten!J:J,$C$4))</f>
        <v>3</v>
      </c>
      <c r="E25" s="12">
        <f t="shared" si="0"/>
        <v>1</v>
      </c>
      <c r="F25" s="13">
        <f>IF($C$4="Alle",COUNTIFS(Rohdaten!E:E,B25,Rohdaten!H:H,"Ja"),COUNTIFS(Rohdaten!E:E,B25,Rohdaten!H:H,"Ja",Rohdaten!J:J,$C$4))</f>
        <v>3</v>
      </c>
      <c r="G25" s="12">
        <f t="shared" si="1"/>
        <v>1</v>
      </c>
    </row>
    <row r="26" spans="1:7" x14ac:dyDescent="0.25">
      <c r="A26" s="1"/>
      <c r="B26" s="8" t="s">
        <v>38</v>
      </c>
      <c r="C26" s="10">
        <f>IF($C$4="Alle",COUNTIF(Rohdaten!E:E,B26),COUNTIFS(Rohdaten!E:E,B26,Rohdaten!J:J,$C$4))</f>
        <v>6</v>
      </c>
      <c r="D26" s="10">
        <f>IF($C$4="Alle",COUNTIFS(Rohdaten!E:E,B26,Rohdaten!F:F,"Ja"),COUNTIFS(Rohdaten!E:E,B26,Rohdaten!F:F,"Ja",Rohdaten!J:J,$C$4))</f>
        <v>4</v>
      </c>
      <c r="E26" s="9">
        <f t="shared" si="0"/>
        <v>0.66666666666666663</v>
      </c>
      <c r="F26" s="10">
        <f>IF($C$4="Alle",COUNTIFS(Rohdaten!E:E,B26,Rohdaten!H:H,"Ja"),COUNTIFS(Rohdaten!E:E,B26,Rohdaten!H:H,"Ja",Rohdaten!J:J,$C$4))</f>
        <v>6</v>
      </c>
      <c r="G26" s="9">
        <f t="shared" si="1"/>
        <v>1</v>
      </c>
    </row>
    <row r="27" spans="1:7" ht="15" customHeight="1" x14ac:dyDescent="0.25">
      <c r="A27" s="1"/>
      <c r="B27" s="1"/>
      <c r="C27" s="1"/>
      <c r="D27" s="1"/>
      <c r="E27" s="1"/>
      <c r="F27" s="1"/>
      <c r="G27" s="1"/>
    </row>
    <row r="28" spans="1:7" ht="21.75" customHeight="1" x14ac:dyDescent="0.25">
      <c r="A28" s="1"/>
      <c r="B28" s="52" t="s">
        <v>39</v>
      </c>
      <c r="C28" s="52"/>
      <c r="D28" s="52"/>
      <c r="E28" s="52"/>
      <c r="F28" s="52"/>
      <c r="G28" s="52"/>
    </row>
    <row r="29" spans="1:7" x14ac:dyDescent="0.25">
      <c r="A29" s="1"/>
      <c r="B29" s="3" t="s">
        <v>40</v>
      </c>
      <c r="C29" s="3" t="s">
        <v>2</v>
      </c>
      <c r="D29" s="3" t="s">
        <v>26</v>
      </c>
      <c r="E29" s="3" t="s">
        <v>27</v>
      </c>
      <c r="F29" s="3" t="s">
        <v>28</v>
      </c>
      <c r="G29" s="3" t="s">
        <v>29</v>
      </c>
    </row>
    <row r="30" spans="1:7" x14ac:dyDescent="0.25">
      <c r="A30" s="1"/>
      <c r="B30" s="8" t="s">
        <v>41</v>
      </c>
      <c r="C30" s="10">
        <f>IF($C$4="Alle",COUNTIFS(Rohdaten!K:K,1,Rohdaten!B:B,"&lt;&gt;"),COUNTIFS(Rohdaten!K:K,1,Rohdaten!J:J,$C$4,Rohdaten!B:B,"&lt;&gt;"))</f>
        <v>3</v>
      </c>
      <c r="D30" s="10">
        <f>IF($C$4="Alle",COUNTIFS(Rohdaten!K:K,1,Rohdaten!F:F,"Ja",Rohdaten!B:B,"&lt;&gt;"),COUNTIFS(Rohdaten!K:K,1,Rohdaten!F:F,"Ja",Rohdaten!J:J,$C$4,Rohdaten!B:B,"&lt;&gt;"))</f>
        <v>1</v>
      </c>
      <c r="E30" s="9">
        <f t="shared" ref="E30:E41" si="2">IF(C30=0,"-",D30/C30)</f>
        <v>0.33333333333333331</v>
      </c>
      <c r="F30" s="10">
        <f>IF($C$4="Alle",COUNTIFS(Rohdaten!K:K,1,Rohdaten!H:H,"Ja",Rohdaten!B:B,"&lt;&gt;"),COUNTIFS(Rohdaten!K:K,1,Rohdaten!H:H,"Ja",Rohdaten!J:J,$C$4,Rohdaten!B:B,"&lt;&gt;"))</f>
        <v>1</v>
      </c>
      <c r="G30" s="9">
        <f t="shared" ref="G30:G41" si="3">IF(C30=0,"-",F30/C30)</f>
        <v>0.33333333333333331</v>
      </c>
    </row>
    <row r="31" spans="1:7" x14ac:dyDescent="0.25">
      <c r="A31" s="1"/>
      <c r="B31" s="11" t="s">
        <v>42</v>
      </c>
      <c r="C31" s="13">
        <f>IF($C$4="Alle",COUNTIFS(Rohdaten!K:K,2,Rohdaten!B:B,"&lt;&gt;"),COUNTIFS(Rohdaten!K:K,2,Rohdaten!J:J,$C$4,Rohdaten!B:B,"&lt;&gt;"))</f>
        <v>14</v>
      </c>
      <c r="D31" s="13">
        <f>IF($C$4="Alle",COUNTIFS(Rohdaten!K:K,2,Rohdaten!F:F,"Ja",Rohdaten!B:B,"&lt;&gt;"),COUNTIFS(Rohdaten!K:K,2,Rohdaten!F:F,"Ja",Rohdaten!J:J,$C$4,Rohdaten!B:B,"&lt;&gt;"))</f>
        <v>11</v>
      </c>
      <c r="E31" s="12">
        <f t="shared" si="2"/>
        <v>0.7857142857142857</v>
      </c>
      <c r="F31" s="13">
        <f>IF($C$4="Alle",COUNTIFS(Rohdaten!K:K,2,Rohdaten!H:H,"Ja",Rohdaten!B:B,"&lt;&gt;"),COUNTIFS(Rohdaten!K:K,2,Rohdaten!H:H,"Ja",Rohdaten!J:J,$C$4,Rohdaten!B:B,"&lt;&gt;"))</f>
        <v>13</v>
      </c>
      <c r="G31" s="12">
        <f t="shared" si="3"/>
        <v>0.9285714285714286</v>
      </c>
    </row>
    <row r="32" spans="1:7" x14ac:dyDescent="0.25">
      <c r="A32" s="1"/>
      <c r="B32" s="8" t="s">
        <v>43</v>
      </c>
      <c r="C32" s="10">
        <f>IF($C$4="Alle",COUNTIFS(Rohdaten!K:K,3,Rohdaten!B:B,"&lt;&gt;"),COUNTIFS(Rohdaten!K:K,3,Rohdaten!J:J,$C$4,Rohdaten!B:B,"&lt;&gt;"))</f>
        <v>21</v>
      </c>
      <c r="D32" s="10">
        <f>IF($C$4="Alle",COUNTIFS(Rohdaten!K:K,3,Rohdaten!F:F,"Ja",Rohdaten!B:B,"&lt;&gt;"),COUNTIFS(Rohdaten!K:K,3,Rohdaten!F:F,"Ja",Rohdaten!J:J,$C$4,Rohdaten!B:B,"&lt;&gt;"))</f>
        <v>15</v>
      </c>
      <c r="E32" s="9">
        <f t="shared" si="2"/>
        <v>0.7142857142857143</v>
      </c>
      <c r="F32" s="10">
        <f>IF($C$4="Alle",COUNTIFS(Rohdaten!K:K,3,Rohdaten!H:H,"Ja",Rohdaten!B:B,"&lt;&gt;"),COUNTIFS(Rohdaten!K:K,3,Rohdaten!H:H,"Ja",Rohdaten!J:J,$C$4,Rohdaten!B:B,"&lt;&gt;"))</f>
        <v>17</v>
      </c>
      <c r="G32" s="9">
        <f t="shared" si="3"/>
        <v>0.80952380952380953</v>
      </c>
    </row>
    <row r="33" spans="1:7" x14ac:dyDescent="0.25">
      <c r="A33" s="1"/>
      <c r="B33" s="11" t="s">
        <v>44</v>
      </c>
      <c r="C33" s="13">
        <f>IF($C$4="Alle",COUNTIFS(Rohdaten!K:K,4,Rohdaten!B:B,"&lt;&gt;"),COUNTIFS(Rohdaten!K:K,4,Rohdaten!J:J,$C$4,Rohdaten!B:B,"&lt;&gt;"))</f>
        <v>17</v>
      </c>
      <c r="D33" s="13">
        <f>IF($C$4="Alle",COUNTIFS(Rohdaten!K:K,4,Rohdaten!F:F,"Ja",Rohdaten!B:B,"&lt;&gt;"),COUNTIFS(Rohdaten!K:K,4,Rohdaten!F:F,"Ja",Rohdaten!J:J,$C$4,Rohdaten!B:B,"&lt;&gt;"))</f>
        <v>8</v>
      </c>
      <c r="E33" s="12">
        <f t="shared" si="2"/>
        <v>0.47058823529411764</v>
      </c>
      <c r="F33" s="13">
        <f>IF($C$4="Alle",COUNTIFS(Rohdaten!K:K,4,Rohdaten!H:H,"Ja",Rohdaten!B:B,"&lt;&gt;"),COUNTIFS(Rohdaten!K:K,4,Rohdaten!H:H,"Ja",Rohdaten!J:J,$C$4,Rohdaten!B:B,"&lt;&gt;"))</f>
        <v>16</v>
      </c>
      <c r="G33" s="12">
        <f t="shared" si="3"/>
        <v>0.94117647058823528</v>
      </c>
    </row>
    <row r="34" spans="1:7" x14ac:dyDescent="0.25">
      <c r="A34" s="1"/>
      <c r="B34" s="8" t="s">
        <v>45</v>
      </c>
      <c r="C34" s="10">
        <f>IF($C$4="Alle",COUNTIFS(Rohdaten!K:K,5,Rohdaten!B:B,"&lt;&gt;"),COUNTIFS(Rohdaten!K:K,5,Rohdaten!J:J,$C$4,Rohdaten!B:B,"&lt;&gt;"))</f>
        <v>7</v>
      </c>
      <c r="D34" s="10">
        <f>IF($C$4="Alle",COUNTIFS(Rohdaten!K:K,5,Rohdaten!F:F,"Ja",Rohdaten!B:B,"&lt;&gt;"),COUNTIFS(Rohdaten!K:K,5,Rohdaten!F:F,"Ja",Rohdaten!J:J,$C$4,Rohdaten!B:B,"&lt;&gt;"))</f>
        <v>3</v>
      </c>
      <c r="E34" s="9">
        <f t="shared" si="2"/>
        <v>0.42857142857142855</v>
      </c>
      <c r="F34" s="10">
        <f>IF($C$4="Alle",COUNTIFS(Rohdaten!K:K,5,Rohdaten!H:H,"Ja",Rohdaten!B:B,"&lt;&gt;"),COUNTIFS(Rohdaten!K:K,5,Rohdaten!H:H,"Ja",Rohdaten!J:J,$C$4,Rohdaten!B:B,"&lt;&gt;"))</f>
        <v>7</v>
      </c>
      <c r="G34" s="9">
        <f t="shared" si="3"/>
        <v>1</v>
      </c>
    </row>
    <row r="35" spans="1:7" x14ac:dyDescent="0.25">
      <c r="A35" s="1"/>
      <c r="B35" s="11" t="s">
        <v>46</v>
      </c>
      <c r="C35" s="13">
        <f>IF($C$4="Alle",COUNTIFS(Rohdaten!K:K,6,Rohdaten!B:B,"&lt;&gt;"),COUNTIFS(Rohdaten!K:K,6,Rohdaten!J:J,$C$4,Rohdaten!B:B,"&lt;&gt;"))</f>
        <v>13</v>
      </c>
      <c r="D35" s="13">
        <f>IF($C$4="Alle",COUNTIFS(Rohdaten!K:K,6,Rohdaten!F:F,"Ja",Rohdaten!B:B,"&lt;&gt;"),COUNTIFS(Rohdaten!K:K,6,Rohdaten!F:F,"Ja",Rohdaten!J:J,$C$4,Rohdaten!B:B,"&lt;&gt;"))</f>
        <v>4</v>
      </c>
      <c r="E35" s="12">
        <f t="shared" si="2"/>
        <v>0.30769230769230771</v>
      </c>
      <c r="F35" s="13">
        <f>IF($C$4="Alle",COUNTIFS(Rohdaten!K:K,6,Rohdaten!H:H,"Ja",Rohdaten!B:B,"&lt;&gt;"),COUNTIFS(Rohdaten!K:K,6,Rohdaten!H:H,"Ja",Rohdaten!J:J,$C$4,Rohdaten!B:B,"&lt;&gt;"))</f>
        <v>11</v>
      </c>
      <c r="G35" s="12">
        <f t="shared" si="3"/>
        <v>0.84615384615384615</v>
      </c>
    </row>
    <row r="36" spans="1:7" x14ac:dyDescent="0.25">
      <c r="A36" s="1"/>
      <c r="B36" s="8" t="s">
        <v>47</v>
      </c>
      <c r="C36" s="10">
        <f>IF($C$4="Alle",COUNTIFS(Rohdaten!K:K,7,Rohdaten!B:B,"&lt;&gt;"),COUNTIFS(Rohdaten!K:K,7,Rohdaten!J:J,$C$4,Rohdaten!B:B,"&lt;&gt;"))</f>
        <v>3</v>
      </c>
      <c r="D36" s="10">
        <f>IF($C$4="Alle",COUNTIFS(Rohdaten!K:K,7,Rohdaten!F:F,"Ja",Rohdaten!B:B,"&lt;&gt;"),COUNTIFS(Rohdaten!K:K,7,Rohdaten!F:F,"Ja",Rohdaten!J:J,$C$4,Rohdaten!B:B,"&lt;&gt;"))</f>
        <v>1</v>
      </c>
      <c r="E36" s="9">
        <f t="shared" si="2"/>
        <v>0.33333333333333331</v>
      </c>
      <c r="F36" s="10">
        <f>IF($C$4="Alle",COUNTIFS(Rohdaten!K:K,7,Rohdaten!H:H,"Ja",Rohdaten!B:B,"&lt;&gt;"),COUNTIFS(Rohdaten!K:K,7,Rohdaten!H:H,"Ja",Rohdaten!J:J,$C$4,Rohdaten!B:B,"&lt;&gt;"))</f>
        <v>2</v>
      </c>
      <c r="G36" s="9">
        <f t="shared" si="3"/>
        <v>0.66666666666666663</v>
      </c>
    </row>
    <row r="37" spans="1:7" x14ac:dyDescent="0.25">
      <c r="A37" s="1"/>
      <c r="B37" s="11" t="s">
        <v>48</v>
      </c>
      <c r="C37" s="13">
        <f>IF($C$4="Alle",COUNTIFS(Rohdaten!K:K,8,Rohdaten!B:B,"&lt;&gt;"),COUNTIFS(Rohdaten!K:K,8,Rohdaten!J:J,$C$4,Rohdaten!B:B,"&lt;&gt;"))</f>
        <v>0</v>
      </c>
      <c r="D37" s="13">
        <f>IF($C$4="Alle",COUNTIFS(Rohdaten!K:K,8,Rohdaten!F:F,"Ja",Rohdaten!B:B,"&lt;&gt;"),COUNTIFS(Rohdaten!K:K,8,Rohdaten!F:F,"Ja",Rohdaten!J:J,$C$4,Rohdaten!B:B,"&lt;&gt;"))</f>
        <v>0</v>
      </c>
      <c r="E37" s="12" t="str">
        <f t="shared" si="2"/>
        <v>-</v>
      </c>
      <c r="F37" s="13">
        <f>IF($C$4="Alle",COUNTIFS(Rohdaten!K:K,8,Rohdaten!H:H,"Ja",Rohdaten!B:B,"&lt;&gt;"),COUNTIFS(Rohdaten!K:K,8,Rohdaten!H:H,"Ja",Rohdaten!J:J,$C$4,Rohdaten!B:B,"&lt;&gt;"))</f>
        <v>0</v>
      </c>
      <c r="G37" s="12" t="str">
        <f t="shared" si="3"/>
        <v>-</v>
      </c>
    </row>
    <row r="38" spans="1:7" x14ac:dyDescent="0.25">
      <c r="A38" s="1"/>
      <c r="B38" s="8" t="s">
        <v>49</v>
      </c>
      <c r="C38" s="10">
        <f>IF($C$4="Alle",COUNTIFS(Rohdaten!K:K,9,Rohdaten!B:B,"&lt;&gt;"),COUNTIFS(Rohdaten!K:K,9,Rohdaten!J:J,$C$4,Rohdaten!B:B,"&lt;&gt;"))</f>
        <v>0</v>
      </c>
      <c r="D38" s="10">
        <f>IF($C$4="Alle",COUNTIFS(Rohdaten!K:K,9,Rohdaten!F:F,"Ja",Rohdaten!B:B,"&lt;&gt;"),COUNTIFS(Rohdaten!K:K,9,Rohdaten!F:F,"Ja",Rohdaten!J:J,$C$4,Rohdaten!B:B,"&lt;&gt;"))</f>
        <v>0</v>
      </c>
      <c r="E38" s="9" t="str">
        <f t="shared" si="2"/>
        <v>-</v>
      </c>
      <c r="F38" s="10">
        <f>IF($C$4="Alle",COUNTIFS(Rohdaten!K:K,9,Rohdaten!H:H,"Ja",Rohdaten!B:B,"&lt;&gt;"),COUNTIFS(Rohdaten!K:K,9,Rohdaten!H:H,"Ja",Rohdaten!J:J,$C$4,Rohdaten!B:B,"&lt;&gt;"))</f>
        <v>0</v>
      </c>
      <c r="G38" s="9" t="str">
        <f t="shared" si="3"/>
        <v>-</v>
      </c>
    </row>
    <row r="39" spans="1:7" x14ac:dyDescent="0.25">
      <c r="A39" s="1"/>
      <c r="B39" s="11" t="s">
        <v>50</v>
      </c>
      <c r="C39" s="13">
        <f>IF($C$4="Alle",COUNTIFS(Rohdaten!K:K,10,Rohdaten!B:B,"&lt;&gt;"),COUNTIFS(Rohdaten!K:K,10,Rohdaten!J:J,$C$4,Rohdaten!B:B,"&lt;&gt;"))</f>
        <v>0</v>
      </c>
      <c r="D39" s="13">
        <f>IF($C$4="Alle",COUNTIFS(Rohdaten!K:K,10,Rohdaten!F:F,"Ja",Rohdaten!B:B,"&lt;&gt;"),COUNTIFS(Rohdaten!K:K,10,Rohdaten!F:F,"Ja",Rohdaten!J:J,$C$4,Rohdaten!B:B,"&lt;&gt;"))</f>
        <v>0</v>
      </c>
      <c r="E39" s="12" t="str">
        <f t="shared" si="2"/>
        <v>-</v>
      </c>
      <c r="F39" s="13">
        <f>IF($C$4="Alle",COUNTIFS(Rohdaten!K:K,10,Rohdaten!H:H,"Ja",Rohdaten!B:B,"&lt;&gt;"),COUNTIFS(Rohdaten!K:K,10,Rohdaten!H:H,"Ja",Rohdaten!J:J,$C$4,Rohdaten!B:B,"&lt;&gt;"))</f>
        <v>0</v>
      </c>
      <c r="G39" s="12" t="str">
        <f t="shared" si="3"/>
        <v>-</v>
      </c>
    </row>
    <row r="40" spans="1:7" x14ac:dyDescent="0.25">
      <c r="A40" s="1"/>
      <c r="B40" s="8" t="s">
        <v>51</v>
      </c>
      <c r="C40" s="10">
        <f>IF($C$4="Alle",COUNTIFS(Rohdaten!K:K,11,Rohdaten!B:B,"&lt;&gt;"),COUNTIFS(Rohdaten!K:K,11,Rohdaten!J:J,$C$4,Rohdaten!B:B,"&lt;&gt;"))</f>
        <v>0</v>
      </c>
      <c r="D40" s="10">
        <f>IF($C$4="Alle",COUNTIFS(Rohdaten!K:K,11,Rohdaten!F:F,"Ja",Rohdaten!B:B,"&lt;&gt;"),COUNTIFS(Rohdaten!K:K,11,Rohdaten!F:F,"Ja",Rohdaten!J:J,$C$4,Rohdaten!B:B,"&lt;&gt;"))</f>
        <v>0</v>
      </c>
      <c r="E40" s="9" t="str">
        <f t="shared" si="2"/>
        <v>-</v>
      </c>
      <c r="F40" s="10">
        <f>IF($C$4="Alle",COUNTIFS(Rohdaten!K:K,11,Rohdaten!H:H,"Ja",Rohdaten!B:B,"&lt;&gt;"),COUNTIFS(Rohdaten!K:K,11,Rohdaten!H:H,"Ja",Rohdaten!J:J,$C$4,Rohdaten!B:B,"&lt;&gt;"))</f>
        <v>0</v>
      </c>
      <c r="G40" s="9" t="str">
        <f t="shared" si="3"/>
        <v>-</v>
      </c>
    </row>
    <row r="41" spans="1:7" x14ac:dyDescent="0.25">
      <c r="A41" s="1"/>
      <c r="B41" s="11" t="s">
        <v>52</v>
      </c>
      <c r="C41" s="13">
        <f>IF($C$4="Alle",COUNTIFS(Rohdaten!K:K,12,Rohdaten!B:B,"&lt;&gt;"),COUNTIFS(Rohdaten!K:K,12,Rohdaten!J:J,$C$4,Rohdaten!B:B,"&lt;&gt;"))</f>
        <v>0</v>
      </c>
      <c r="D41" s="13">
        <f>IF($C$4="Alle",COUNTIFS(Rohdaten!K:K,12,Rohdaten!F:F,"Ja",Rohdaten!B:B,"&lt;&gt;"),COUNTIFS(Rohdaten!K:K,12,Rohdaten!F:F,"Ja",Rohdaten!J:J,$C$4,Rohdaten!B:B,"&lt;&gt;"))</f>
        <v>0</v>
      </c>
      <c r="E41" s="12" t="str">
        <f t="shared" si="2"/>
        <v>-</v>
      </c>
      <c r="F41" s="13">
        <f>IF($C$4="Alle",COUNTIFS(Rohdaten!K:K,12,Rohdaten!H:H,"Ja",Rohdaten!B:B,"&lt;&gt;"),COUNTIFS(Rohdaten!K:K,12,Rohdaten!H:H,"Ja",Rohdaten!J:J,$C$4,Rohdaten!B:B,"&lt;&gt;"))</f>
        <v>0</v>
      </c>
      <c r="G41" s="12" t="str">
        <f t="shared" si="3"/>
        <v>-</v>
      </c>
    </row>
    <row r="42" spans="1:7" x14ac:dyDescent="0.25">
      <c r="A42" s="1"/>
    </row>
    <row r="43" spans="1:7" x14ac:dyDescent="0.25">
      <c r="A43" s="1"/>
    </row>
    <row r="44" spans="1:7" x14ac:dyDescent="0.25">
      <c r="A44" s="1"/>
    </row>
  </sheetData>
  <mergeCells count="5">
    <mergeCell ref="B2:G2"/>
    <mergeCell ref="C4:D4"/>
    <mergeCell ref="B10:G10"/>
    <mergeCell ref="B16:G16"/>
    <mergeCell ref="B28:G28"/>
  </mergeCells>
  <dataValidations count="1">
    <dataValidation type="list" prompt="Jahr wählen" sqref="C4" xr:uid="{00000000-0002-0000-0000-000000000000}">
      <formula1>"Alle,2025,2026,2027,2028,2029,2030"</formula1>
      <formula2>0</formula2>
    </dataValidation>
  </dataValidation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A1:R502"/>
  <sheetViews>
    <sheetView tabSelected="1" zoomScaleNormal="100" workbookViewId="0">
      <pane ySplit="3" topLeftCell="A85" activePane="bottomLeft" state="frozen"/>
      <selection pane="bottomLeft" activeCell="I91" sqref="I91"/>
    </sheetView>
  </sheetViews>
  <sheetFormatPr baseColWidth="10" defaultColWidth="8.7109375" defaultRowHeight="15" x14ac:dyDescent="0.25"/>
  <cols>
    <col min="1" max="1" width="5" customWidth="1"/>
    <col min="2" max="2" width="16" style="39" customWidth="1"/>
    <col min="3" max="3" width="14" style="39" customWidth="1"/>
    <col min="4" max="4" width="63.5703125" customWidth="1"/>
    <col min="5" max="5" width="18" customWidth="1"/>
    <col min="6" max="6" width="14" style="43" customWidth="1"/>
    <col min="7" max="7" width="14" customWidth="1"/>
    <col min="8" max="8" width="12" customWidth="1"/>
    <col min="9" max="9" width="25" customWidth="1"/>
    <col min="10" max="10" width="8" style="39" customWidth="1"/>
    <col min="11" max="11" width="10" style="39" customWidth="1"/>
  </cols>
  <sheetData>
    <row r="1" spans="1:12" ht="34.5" customHeight="1" x14ac:dyDescent="0.25">
      <c r="A1" s="53" t="s">
        <v>53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2" ht="21.75" customHeight="1" x14ac:dyDescent="0.25">
      <c r="A2" s="54" t="s">
        <v>54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3" spans="1:12" ht="39.75" customHeight="1" x14ac:dyDescent="0.25">
      <c r="A3" s="15" t="s">
        <v>55</v>
      </c>
      <c r="B3" s="45" t="s">
        <v>56</v>
      </c>
      <c r="C3" s="16" t="s">
        <v>57</v>
      </c>
      <c r="D3" s="16" t="s">
        <v>58</v>
      </c>
      <c r="E3" s="15" t="s">
        <v>24</v>
      </c>
      <c r="F3" s="40" t="s">
        <v>59</v>
      </c>
      <c r="G3" s="15" t="s">
        <v>60</v>
      </c>
      <c r="H3" s="16" t="s">
        <v>61</v>
      </c>
      <c r="I3" s="15" t="s">
        <v>62</v>
      </c>
      <c r="J3" s="38" t="s">
        <v>63</v>
      </c>
      <c r="K3" s="15" t="s">
        <v>64</v>
      </c>
    </row>
    <row r="4" spans="1:12" ht="15" customHeight="1" x14ac:dyDescent="0.25">
      <c r="A4" s="17">
        <v>1</v>
      </c>
      <c r="B4" s="46">
        <v>45888</v>
      </c>
      <c r="C4" s="17">
        <v>2402052518</v>
      </c>
      <c r="D4" s="18" t="s">
        <v>65</v>
      </c>
      <c r="E4" s="17" t="s">
        <v>30</v>
      </c>
      <c r="F4" s="41" t="s">
        <v>66</v>
      </c>
      <c r="G4" s="17">
        <v>5</v>
      </c>
      <c r="H4" s="17" t="s">
        <v>67</v>
      </c>
      <c r="I4" s="18" t="s">
        <v>68</v>
      </c>
      <c r="J4" s="19" t="str">
        <f t="shared" ref="J4:J68" si="0">IFERROR(IF(B4="","",IF(ISNUMBER(B4),TEXT(YEAR(B4),"0"),"")),"")</f>
        <v>2025</v>
      </c>
      <c r="K4" s="19">
        <f t="shared" ref="K4:K68" si="1">IFERROR(IF(B4="","",IF(ISNUMBER(B4),MONTH(B4),"")),"")</f>
        <v>8</v>
      </c>
    </row>
    <row r="5" spans="1:12" ht="15" customHeight="1" x14ac:dyDescent="0.25">
      <c r="A5" s="20">
        <v>2</v>
      </c>
      <c r="B5" s="47">
        <v>45932</v>
      </c>
      <c r="C5" s="20">
        <v>2408052695</v>
      </c>
      <c r="D5" s="21" t="s">
        <v>69</v>
      </c>
      <c r="E5" s="20" t="s">
        <v>30</v>
      </c>
      <c r="F5" s="42" t="s">
        <v>66</v>
      </c>
      <c r="G5" s="20">
        <v>5</v>
      </c>
      <c r="H5" s="20" t="s">
        <v>70</v>
      </c>
      <c r="I5" s="21" t="s">
        <v>71</v>
      </c>
      <c r="J5" s="22" t="str">
        <f t="shared" si="0"/>
        <v>2025</v>
      </c>
      <c r="K5" s="22">
        <f t="shared" si="1"/>
        <v>10</v>
      </c>
    </row>
    <row r="6" spans="1:12" ht="15" customHeight="1" x14ac:dyDescent="0.25">
      <c r="A6" s="17">
        <v>3</v>
      </c>
      <c r="B6" s="46">
        <v>45945</v>
      </c>
      <c r="C6" s="17">
        <v>2402052503</v>
      </c>
      <c r="D6" s="18" t="s">
        <v>72</v>
      </c>
      <c r="E6" s="17" t="s">
        <v>30</v>
      </c>
      <c r="F6" s="41" t="s">
        <v>70</v>
      </c>
      <c r="G6" s="17">
        <v>5</v>
      </c>
      <c r="H6" s="17" t="s">
        <v>66</v>
      </c>
      <c r="I6" s="18" t="s">
        <v>73</v>
      </c>
      <c r="J6" s="19" t="str">
        <f t="shared" si="0"/>
        <v>2025</v>
      </c>
      <c r="K6" s="19">
        <f t="shared" si="1"/>
        <v>10</v>
      </c>
    </row>
    <row r="7" spans="1:12" ht="15" customHeight="1" x14ac:dyDescent="0.25">
      <c r="A7" s="20">
        <v>4</v>
      </c>
      <c r="B7" s="47">
        <v>45976</v>
      </c>
      <c r="C7" s="20" t="s">
        <v>74</v>
      </c>
      <c r="D7" s="21" t="s">
        <v>75</v>
      </c>
      <c r="E7" s="20" t="s">
        <v>30</v>
      </c>
      <c r="F7" s="42" t="s">
        <v>70</v>
      </c>
      <c r="G7" s="20">
        <v>5</v>
      </c>
      <c r="H7" s="20" t="s">
        <v>70</v>
      </c>
      <c r="I7" s="21" t="s">
        <v>73</v>
      </c>
      <c r="J7" s="22" t="str">
        <f t="shared" si="0"/>
        <v>2025</v>
      </c>
      <c r="K7" s="22">
        <f t="shared" si="1"/>
        <v>11</v>
      </c>
    </row>
    <row r="8" spans="1:12" ht="15" customHeight="1" x14ac:dyDescent="0.25">
      <c r="A8" s="17">
        <v>5</v>
      </c>
      <c r="B8" s="46">
        <v>45976</v>
      </c>
      <c r="C8" s="17" t="s">
        <v>76</v>
      </c>
      <c r="D8" s="18" t="s">
        <v>77</v>
      </c>
      <c r="E8" s="17" t="s">
        <v>30</v>
      </c>
      <c r="F8" s="41" t="s">
        <v>70</v>
      </c>
      <c r="G8" s="17">
        <v>5</v>
      </c>
      <c r="H8" s="17" t="s">
        <v>67</v>
      </c>
      <c r="I8" s="18" t="s">
        <v>73</v>
      </c>
      <c r="J8" s="19" t="str">
        <f t="shared" si="0"/>
        <v>2025</v>
      </c>
      <c r="K8" s="19">
        <f t="shared" si="1"/>
        <v>11</v>
      </c>
    </row>
    <row r="9" spans="1:12" ht="15" customHeight="1" x14ac:dyDescent="0.25">
      <c r="A9" s="20">
        <v>6</v>
      </c>
      <c r="B9" s="47">
        <v>45985</v>
      </c>
      <c r="C9" s="20">
        <v>2503052864</v>
      </c>
      <c r="D9" s="21" t="s">
        <v>78</v>
      </c>
      <c r="E9" s="20" t="s">
        <v>30</v>
      </c>
      <c r="F9" s="42" t="s">
        <v>66</v>
      </c>
      <c r="G9" s="20">
        <v>5</v>
      </c>
      <c r="H9" s="20" t="s">
        <v>66</v>
      </c>
      <c r="I9" s="21" t="s">
        <v>79</v>
      </c>
      <c r="J9" s="22" t="str">
        <f t="shared" si="0"/>
        <v>2025</v>
      </c>
      <c r="K9" s="22">
        <f t="shared" si="1"/>
        <v>11</v>
      </c>
    </row>
    <row r="10" spans="1:12" ht="15" customHeight="1" x14ac:dyDescent="0.25">
      <c r="A10" s="17">
        <v>7</v>
      </c>
      <c r="B10" s="46">
        <v>45986</v>
      </c>
      <c r="C10" s="17">
        <v>2403052574</v>
      </c>
      <c r="D10" s="18" t="s">
        <v>80</v>
      </c>
      <c r="E10" s="17" t="s">
        <v>31</v>
      </c>
      <c r="F10" s="41" t="s">
        <v>70</v>
      </c>
      <c r="G10" s="17">
        <v>5</v>
      </c>
      <c r="H10" s="17" t="s">
        <v>70</v>
      </c>
      <c r="I10" s="18" t="s">
        <v>81</v>
      </c>
      <c r="J10" s="19" t="str">
        <f t="shared" si="0"/>
        <v>2025</v>
      </c>
      <c r="K10" s="19">
        <f t="shared" si="1"/>
        <v>11</v>
      </c>
    </row>
    <row r="11" spans="1:12" ht="15" customHeight="1" x14ac:dyDescent="0.25">
      <c r="A11" s="20">
        <v>8</v>
      </c>
      <c r="B11" s="47">
        <v>46006</v>
      </c>
      <c r="C11" s="20">
        <v>2501052806</v>
      </c>
      <c r="D11" s="21" t="s">
        <v>82</v>
      </c>
      <c r="E11" s="20" t="s">
        <v>30</v>
      </c>
      <c r="F11" s="42" t="s">
        <v>70</v>
      </c>
      <c r="G11" s="20">
        <v>5</v>
      </c>
      <c r="H11" s="20" t="s">
        <v>67</v>
      </c>
      <c r="I11" s="21" t="s">
        <v>73</v>
      </c>
      <c r="J11" s="22" t="str">
        <f t="shared" si="0"/>
        <v>2025</v>
      </c>
      <c r="K11" s="22">
        <f t="shared" si="1"/>
        <v>12</v>
      </c>
    </row>
    <row r="12" spans="1:12" ht="15" customHeight="1" x14ac:dyDescent="0.25">
      <c r="A12" s="17">
        <v>9</v>
      </c>
      <c r="B12" s="46">
        <v>46006</v>
      </c>
      <c r="C12" s="17" t="s">
        <v>83</v>
      </c>
      <c r="D12" s="18" t="s">
        <v>84</v>
      </c>
      <c r="E12" s="17" t="s">
        <v>30</v>
      </c>
      <c r="F12" s="41" t="s">
        <v>70</v>
      </c>
      <c r="G12" s="17">
        <v>4</v>
      </c>
      <c r="H12" s="17" t="s">
        <v>67</v>
      </c>
      <c r="I12" s="18" t="s">
        <v>85</v>
      </c>
      <c r="J12" s="19" t="str">
        <f t="shared" si="0"/>
        <v>2025</v>
      </c>
      <c r="K12" s="19">
        <f t="shared" si="1"/>
        <v>12</v>
      </c>
    </row>
    <row r="13" spans="1:12" ht="15" customHeight="1" x14ac:dyDescent="0.25">
      <c r="A13" s="20">
        <v>10</v>
      </c>
      <c r="B13" s="47">
        <v>46009</v>
      </c>
      <c r="C13" s="20">
        <v>2306052317</v>
      </c>
      <c r="D13" s="21" t="s">
        <v>86</v>
      </c>
      <c r="E13" s="20" t="s">
        <v>34</v>
      </c>
      <c r="F13" s="42" t="s">
        <v>66</v>
      </c>
      <c r="G13" s="20">
        <v>5</v>
      </c>
      <c r="H13" s="20" t="s">
        <v>66</v>
      </c>
      <c r="I13" s="21"/>
      <c r="J13" s="22" t="str">
        <f t="shared" si="0"/>
        <v>2025</v>
      </c>
      <c r="K13" s="22">
        <f t="shared" si="1"/>
        <v>12</v>
      </c>
    </row>
    <row r="14" spans="1:12" ht="15" customHeight="1" x14ac:dyDescent="0.25">
      <c r="A14" s="17">
        <v>11</v>
      </c>
      <c r="B14" s="46">
        <v>46027</v>
      </c>
      <c r="C14" s="17">
        <v>2309052389</v>
      </c>
      <c r="D14" s="18" t="s">
        <v>87</v>
      </c>
      <c r="E14" s="17" t="s">
        <v>31</v>
      </c>
      <c r="F14" s="41" t="s">
        <v>67</v>
      </c>
      <c r="G14" s="17">
        <v>5</v>
      </c>
      <c r="H14" s="17" t="s">
        <v>67</v>
      </c>
      <c r="I14" s="18"/>
      <c r="J14" s="19" t="str">
        <f t="shared" si="0"/>
        <v>2026</v>
      </c>
      <c r="K14" s="19">
        <f t="shared" si="1"/>
        <v>1</v>
      </c>
    </row>
    <row r="15" spans="1:12" ht="15" customHeight="1" x14ac:dyDescent="0.25">
      <c r="A15" s="20">
        <v>12</v>
      </c>
      <c r="B15" s="47">
        <v>46027</v>
      </c>
      <c r="C15" s="20">
        <v>2402052510</v>
      </c>
      <c r="D15" s="21" t="s">
        <v>88</v>
      </c>
      <c r="E15" s="20" t="s">
        <v>32</v>
      </c>
      <c r="F15" s="42" t="s">
        <v>70</v>
      </c>
      <c r="G15" s="20">
        <v>5</v>
      </c>
      <c r="H15" s="20" t="s">
        <v>70</v>
      </c>
      <c r="I15" s="21" t="s">
        <v>9</v>
      </c>
      <c r="J15" s="22" t="str">
        <f t="shared" si="0"/>
        <v>2026</v>
      </c>
      <c r="K15" s="22">
        <f t="shared" si="1"/>
        <v>1</v>
      </c>
    </row>
    <row r="16" spans="1:12" ht="15" customHeight="1" x14ac:dyDescent="0.25">
      <c r="A16" s="17">
        <v>13</v>
      </c>
      <c r="B16" s="46">
        <v>46036</v>
      </c>
      <c r="C16" s="17">
        <v>2411052747</v>
      </c>
      <c r="D16" s="18" t="s">
        <v>89</v>
      </c>
      <c r="E16" s="17" t="s">
        <v>31</v>
      </c>
      <c r="F16" s="41" t="s">
        <v>67</v>
      </c>
      <c r="G16" s="17">
        <v>5</v>
      </c>
      <c r="H16" s="17" t="s">
        <v>67</v>
      </c>
      <c r="I16" s="18" t="s">
        <v>73</v>
      </c>
      <c r="J16" s="19" t="str">
        <f t="shared" si="0"/>
        <v>2026</v>
      </c>
      <c r="K16" s="19">
        <f t="shared" si="1"/>
        <v>1</v>
      </c>
      <c r="L16" t="s">
        <v>136</v>
      </c>
    </row>
    <row r="17" spans="1:12" ht="15" customHeight="1" x14ac:dyDescent="0.25">
      <c r="A17" s="20">
        <v>14</v>
      </c>
      <c r="B17" s="47">
        <v>46056</v>
      </c>
      <c r="C17" s="20" t="s">
        <v>90</v>
      </c>
      <c r="D17" s="21" t="s">
        <v>91</v>
      </c>
      <c r="E17" s="20" t="s">
        <v>33</v>
      </c>
      <c r="F17" s="42" t="s">
        <v>70</v>
      </c>
      <c r="G17" s="20">
        <v>5</v>
      </c>
      <c r="H17" s="20" t="s">
        <v>70</v>
      </c>
      <c r="I17" s="21" t="s">
        <v>73</v>
      </c>
      <c r="J17" s="22" t="str">
        <f t="shared" si="0"/>
        <v>2026</v>
      </c>
      <c r="K17" s="22">
        <f t="shared" si="1"/>
        <v>2</v>
      </c>
    </row>
    <row r="18" spans="1:12" ht="15" customHeight="1" x14ac:dyDescent="0.25">
      <c r="A18" s="17">
        <v>15</v>
      </c>
      <c r="B18" s="46">
        <v>46058</v>
      </c>
      <c r="C18" s="17" t="s">
        <v>92</v>
      </c>
      <c r="D18" s="18" t="s">
        <v>93</v>
      </c>
      <c r="E18" s="17" t="s">
        <v>32</v>
      </c>
      <c r="F18" s="41" t="s">
        <v>70</v>
      </c>
      <c r="G18" s="17">
        <v>5</v>
      </c>
      <c r="H18" s="17" t="s">
        <v>70</v>
      </c>
      <c r="I18" s="18"/>
      <c r="J18" s="19" t="str">
        <f t="shared" si="0"/>
        <v>2026</v>
      </c>
      <c r="K18" s="19">
        <f t="shared" si="1"/>
        <v>2</v>
      </c>
    </row>
    <row r="19" spans="1:12" ht="15" customHeight="1" x14ac:dyDescent="0.25">
      <c r="A19" s="20">
        <v>16</v>
      </c>
      <c r="B19" s="47">
        <v>46064</v>
      </c>
      <c r="C19" s="20" t="s">
        <v>94</v>
      </c>
      <c r="D19" s="21" t="s">
        <v>95</v>
      </c>
      <c r="E19" s="20" t="s">
        <v>35</v>
      </c>
      <c r="F19" s="42" t="s">
        <v>70</v>
      </c>
      <c r="G19" s="20">
        <v>5</v>
      </c>
      <c r="H19" s="20" t="s">
        <v>70</v>
      </c>
      <c r="I19" s="21" t="s">
        <v>96</v>
      </c>
      <c r="J19" s="22" t="str">
        <f t="shared" si="0"/>
        <v>2026</v>
      </c>
      <c r="K19" s="22">
        <f t="shared" si="1"/>
        <v>2</v>
      </c>
    </row>
    <row r="20" spans="1:12" ht="15" customHeight="1" x14ac:dyDescent="0.25">
      <c r="A20" s="17">
        <v>17</v>
      </c>
      <c r="B20" s="46">
        <v>46065</v>
      </c>
      <c r="C20" s="17" t="s">
        <v>97</v>
      </c>
      <c r="D20" s="18" t="s">
        <v>98</v>
      </c>
      <c r="E20" s="17" t="s">
        <v>33</v>
      </c>
      <c r="F20" s="41" t="s">
        <v>70</v>
      </c>
      <c r="G20" s="17">
        <v>5</v>
      </c>
      <c r="H20" s="17" t="s">
        <v>70</v>
      </c>
      <c r="I20" s="18" t="s">
        <v>9</v>
      </c>
      <c r="J20" s="19" t="str">
        <f t="shared" si="0"/>
        <v>2026</v>
      </c>
      <c r="K20" s="19">
        <f t="shared" si="1"/>
        <v>2</v>
      </c>
    </row>
    <row r="21" spans="1:12" ht="15" customHeight="1" x14ac:dyDescent="0.25">
      <c r="A21" s="20">
        <v>18</v>
      </c>
      <c r="B21" s="47">
        <v>46065</v>
      </c>
      <c r="C21" s="20" t="s">
        <v>99</v>
      </c>
      <c r="D21" s="21" t="s">
        <v>100</v>
      </c>
      <c r="E21" s="20" t="s">
        <v>31</v>
      </c>
      <c r="F21" s="42" t="s">
        <v>70</v>
      </c>
      <c r="G21" s="20">
        <v>5</v>
      </c>
      <c r="H21" s="20" t="s">
        <v>67</v>
      </c>
      <c r="I21" s="21" t="s">
        <v>85</v>
      </c>
      <c r="J21" s="22" t="str">
        <f t="shared" si="0"/>
        <v>2026</v>
      </c>
      <c r="K21" s="22">
        <f t="shared" si="1"/>
        <v>2</v>
      </c>
    </row>
    <row r="22" spans="1:12" ht="15" customHeight="1" x14ac:dyDescent="0.25">
      <c r="A22" s="17">
        <v>19</v>
      </c>
      <c r="B22" s="46">
        <v>46066</v>
      </c>
      <c r="C22" s="17" t="s">
        <v>101</v>
      </c>
      <c r="D22" s="18" t="s">
        <v>102</v>
      </c>
      <c r="E22" s="17" t="s">
        <v>38</v>
      </c>
      <c r="F22" s="41" t="s">
        <v>70</v>
      </c>
      <c r="G22" s="17">
        <v>5</v>
      </c>
      <c r="H22" s="17" t="s">
        <v>70</v>
      </c>
      <c r="I22" s="18"/>
      <c r="J22" s="19" t="str">
        <f t="shared" si="0"/>
        <v>2026</v>
      </c>
      <c r="K22" s="19">
        <f t="shared" si="1"/>
        <v>2</v>
      </c>
    </row>
    <row r="23" spans="1:12" ht="15" customHeight="1" x14ac:dyDescent="0.25">
      <c r="A23" s="20">
        <v>20</v>
      </c>
      <c r="B23" s="47">
        <v>46066</v>
      </c>
      <c r="C23" s="20">
        <v>2409052706</v>
      </c>
      <c r="D23" s="21" t="s">
        <v>103</v>
      </c>
      <c r="E23" s="20" t="s">
        <v>31</v>
      </c>
      <c r="F23" s="42"/>
      <c r="G23" s="20"/>
      <c r="H23" s="20" t="s">
        <v>66</v>
      </c>
      <c r="I23" s="21" t="s">
        <v>104</v>
      </c>
      <c r="J23" s="22" t="str">
        <f t="shared" si="0"/>
        <v>2026</v>
      </c>
      <c r="K23" s="22">
        <f t="shared" si="1"/>
        <v>2</v>
      </c>
      <c r="L23" t="s">
        <v>268</v>
      </c>
    </row>
    <row r="24" spans="1:12" ht="15" customHeight="1" x14ac:dyDescent="0.25">
      <c r="A24" s="17">
        <v>21</v>
      </c>
      <c r="B24" s="46">
        <v>46071</v>
      </c>
      <c r="C24" s="17" t="s">
        <v>105</v>
      </c>
      <c r="D24" s="18" t="s">
        <v>106</v>
      </c>
      <c r="E24" s="17" t="s">
        <v>32</v>
      </c>
      <c r="F24" s="41" t="s">
        <v>70</v>
      </c>
      <c r="G24" s="17">
        <v>5</v>
      </c>
      <c r="H24" s="17" t="s">
        <v>70</v>
      </c>
      <c r="I24" s="18" t="s">
        <v>107</v>
      </c>
      <c r="J24" s="19" t="str">
        <f t="shared" si="0"/>
        <v>2026</v>
      </c>
      <c r="K24" s="19">
        <f t="shared" si="1"/>
        <v>2</v>
      </c>
    </row>
    <row r="25" spans="1:12" ht="15" customHeight="1" x14ac:dyDescent="0.25">
      <c r="A25" s="20">
        <v>22</v>
      </c>
      <c r="B25" s="47">
        <v>46072</v>
      </c>
      <c r="C25" s="20">
        <v>2504052898</v>
      </c>
      <c r="D25" s="21" t="s">
        <v>108</v>
      </c>
      <c r="E25" s="20" t="s">
        <v>34</v>
      </c>
      <c r="F25" s="42" t="s">
        <v>70</v>
      </c>
      <c r="G25" s="20">
        <v>5</v>
      </c>
      <c r="H25" s="20" t="s">
        <v>70</v>
      </c>
      <c r="I25" s="21" t="s">
        <v>68</v>
      </c>
      <c r="J25" s="22" t="str">
        <f t="shared" si="0"/>
        <v>2026</v>
      </c>
      <c r="K25" s="22">
        <f t="shared" si="1"/>
        <v>2</v>
      </c>
    </row>
    <row r="26" spans="1:12" ht="15" customHeight="1" x14ac:dyDescent="0.25">
      <c r="A26" s="17">
        <v>23</v>
      </c>
      <c r="B26" s="46">
        <v>46074</v>
      </c>
      <c r="C26" s="17">
        <v>2507052962</v>
      </c>
      <c r="D26" s="18" t="s">
        <v>109</v>
      </c>
      <c r="E26" s="17" t="s">
        <v>31</v>
      </c>
      <c r="F26" s="41" t="s">
        <v>70</v>
      </c>
      <c r="G26" s="17">
        <v>5</v>
      </c>
      <c r="H26" s="17" t="s">
        <v>66</v>
      </c>
      <c r="I26" s="18" t="s">
        <v>110</v>
      </c>
      <c r="J26" s="19" t="str">
        <f t="shared" si="0"/>
        <v>2026</v>
      </c>
      <c r="K26" s="19">
        <f t="shared" si="1"/>
        <v>2</v>
      </c>
    </row>
    <row r="27" spans="1:12" ht="15" customHeight="1" x14ac:dyDescent="0.25">
      <c r="A27" s="20">
        <v>24</v>
      </c>
      <c r="B27" s="47">
        <v>46076</v>
      </c>
      <c r="C27" s="20">
        <v>2505052910</v>
      </c>
      <c r="D27" s="21" t="s">
        <v>111</v>
      </c>
      <c r="E27" s="20" t="s">
        <v>32</v>
      </c>
      <c r="F27" s="42" t="s">
        <v>66</v>
      </c>
      <c r="G27" s="20">
        <v>5</v>
      </c>
      <c r="H27" s="20" t="s">
        <v>66</v>
      </c>
      <c r="I27" s="21" t="s">
        <v>9</v>
      </c>
      <c r="J27" s="22" t="str">
        <f t="shared" si="0"/>
        <v>2026</v>
      </c>
      <c r="K27" s="22">
        <f t="shared" si="1"/>
        <v>2</v>
      </c>
    </row>
    <row r="28" spans="1:12" ht="15" customHeight="1" x14ac:dyDescent="0.25">
      <c r="A28" s="17">
        <v>25</v>
      </c>
      <c r="B28" s="46">
        <v>46078</v>
      </c>
      <c r="C28" s="17">
        <v>2411052774</v>
      </c>
      <c r="D28" s="18" t="s">
        <v>112</v>
      </c>
      <c r="E28" s="17" t="s">
        <v>31</v>
      </c>
      <c r="F28" s="41"/>
      <c r="G28" s="17"/>
      <c r="H28" s="17" t="s">
        <v>66</v>
      </c>
      <c r="I28" s="18" t="s">
        <v>113</v>
      </c>
      <c r="J28" s="19" t="str">
        <f t="shared" si="0"/>
        <v>2026</v>
      </c>
      <c r="K28" s="19">
        <f t="shared" si="1"/>
        <v>2</v>
      </c>
      <c r="L28" t="s">
        <v>276</v>
      </c>
    </row>
    <row r="29" spans="1:12" ht="15" customHeight="1" x14ac:dyDescent="0.25">
      <c r="A29" s="20">
        <v>26</v>
      </c>
      <c r="B29" s="47">
        <v>46078</v>
      </c>
      <c r="C29" s="20">
        <v>2409052712</v>
      </c>
      <c r="D29" s="21" t="s">
        <v>114</v>
      </c>
      <c r="E29" s="20" t="s">
        <v>31</v>
      </c>
      <c r="F29" s="42" t="s">
        <v>66</v>
      </c>
      <c r="G29" s="20">
        <v>5</v>
      </c>
      <c r="H29" s="20" t="s">
        <v>66</v>
      </c>
      <c r="I29" s="21" t="s">
        <v>107</v>
      </c>
      <c r="J29" s="22" t="str">
        <f t="shared" si="0"/>
        <v>2026</v>
      </c>
      <c r="K29" s="22">
        <f t="shared" si="1"/>
        <v>2</v>
      </c>
      <c r="L29" t="s">
        <v>249</v>
      </c>
    </row>
    <row r="30" spans="1:12" ht="15" customHeight="1" x14ac:dyDescent="0.25">
      <c r="A30" s="17">
        <v>27</v>
      </c>
      <c r="B30" s="46">
        <v>46080</v>
      </c>
      <c r="C30" s="17">
        <v>2502052829</v>
      </c>
      <c r="D30" s="18" t="s">
        <v>115</v>
      </c>
      <c r="E30" s="17" t="s">
        <v>31</v>
      </c>
      <c r="F30" s="41"/>
      <c r="G30" s="17"/>
      <c r="H30" s="17" t="s">
        <v>66</v>
      </c>
      <c r="I30" s="18" t="s">
        <v>107</v>
      </c>
      <c r="J30" s="19" t="str">
        <f t="shared" si="0"/>
        <v>2026</v>
      </c>
      <c r="K30" s="19">
        <f t="shared" si="1"/>
        <v>2</v>
      </c>
    </row>
    <row r="31" spans="1:12" ht="15" customHeight="1" x14ac:dyDescent="0.25">
      <c r="A31" s="20">
        <v>28</v>
      </c>
      <c r="B31" s="47">
        <v>46085</v>
      </c>
      <c r="C31" s="20">
        <v>2402052504</v>
      </c>
      <c r="D31" s="21" t="s">
        <v>116</v>
      </c>
      <c r="E31" s="20" t="s">
        <v>37</v>
      </c>
      <c r="F31" s="42" t="s">
        <v>66</v>
      </c>
      <c r="G31" s="20">
        <v>5</v>
      </c>
      <c r="H31" s="20" t="s">
        <v>70</v>
      </c>
      <c r="I31" s="21" t="s">
        <v>107</v>
      </c>
      <c r="J31" s="22" t="str">
        <f t="shared" si="0"/>
        <v>2026</v>
      </c>
      <c r="K31" s="22">
        <f t="shared" si="1"/>
        <v>3</v>
      </c>
    </row>
    <row r="32" spans="1:12" ht="15" customHeight="1" x14ac:dyDescent="0.25">
      <c r="A32" s="17">
        <v>29</v>
      </c>
      <c r="B32" s="46">
        <v>46085</v>
      </c>
      <c r="C32" s="17">
        <v>2411052775</v>
      </c>
      <c r="D32" s="18" t="s">
        <v>117</v>
      </c>
      <c r="E32" s="17" t="s">
        <v>31</v>
      </c>
      <c r="F32" s="41"/>
      <c r="G32" s="17"/>
      <c r="H32" s="17"/>
      <c r="I32" s="18" t="s">
        <v>107</v>
      </c>
      <c r="J32" s="19" t="str">
        <f t="shared" si="0"/>
        <v>2026</v>
      </c>
      <c r="K32" s="19">
        <f t="shared" si="1"/>
        <v>3</v>
      </c>
      <c r="L32" t="s">
        <v>276</v>
      </c>
    </row>
    <row r="33" spans="1:12" ht="15" customHeight="1" x14ac:dyDescent="0.25">
      <c r="A33" s="20">
        <v>30</v>
      </c>
      <c r="B33" s="47">
        <v>46086</v>
      </c>
      <c r="C33" s="20">
        <v>2407052686</v>
      </c>
      <c r="D33" s="21" t="s">
        <v>118</v>
      </c>
      <c r="E33" s="20" t="s">
        <v>32</v>
      </c>
      <c r="F33" s="42" t="s">
        <v>66</v>
      </c>
      <c r="G33" s="20">
        <v>5</v>
      </c>
      <c r="H33" s="20" t="s">
        <v>70</v>
      </c>
      <c r="I33" s="21" t="s">
        <v>107</v>
      </c>
      <c r="J33" s="22" t="str">
        <f t="shared" si="0"/>
        <v>2026</v>
      </c>
      <c r="K33" s="22">
        <f t="shared" si="1"/>
        <v>3</v>
      </c>
    </row>
    <row r="34" spans="1:12" ht="15" customHeight="1" x14ac:dyDescent="0.25">
      <c r="A34" s="17">
        <v>31</v>
      </c>
      <c r="B34" s="46">
        <v>46087</v>
      </c>
      <c r="C34" s="17">
        <v>2202051897</v>
      </c>
      <c r="D34" s="18" t="s">
        <v>119</v>
      </c>
      <c r="E34" s="17" t="s">
        <v>37</v>
      </c>
      <c r="F34" s="41" t="s">
        <v>66</v>
      </c>
      <c r="G34" s="17">
        <v>5</v>
      </c>
      <c r="H34" s="17" t="s">
        <v>66</v>
      </c>
      <c r="I34" s="18" t="s">
        <v>113</v>
      </c>
      <c r="J34" s="19" t="str">
        <f t="shared" si="0"/>
        <v>2026</v>
      </c>
      <c r="K34" s="19">
        <f t="shared" si="1"/>
        <v>3</v>
      </c>
    </row>
    <row r="35" spans="1:12" ht="15" customHeight="1" x14ac:dyDescent="0.25">
      <c r="A35" s="20">
        <v>32</v>
      </c>
      <c r="B35" s="47">
        <v>46091</v>
      </c>
      <c r="C35" s="20">
        <v>2502052818</v>
      </c>
      <c r="D35" s="21" t="s">
        <v>120</v>
      </c>
      <c r="E35" s="20" t="s">
        <v>32</v>
      </c>
      <c r="F35" s="42" t="s">
        <v>66</v>
      </c>
      <c r="G35" s="20">
        <v>5</v>
      </c>
      <c r="H35" s="20" t="s">
        <v>66</v>
      </c>
      <c r="I35" s="21" t="s">
        <v>107</v>
      </c>
      <c r="J35" s="22" t="str">
        <f t="shared" si="0"/>
        <v>2026</v>
      </c>
      <c r="K35" s="22">
        <f t="shared" si="1"/>
        <v>3</v>
      </c>
    </row>
    <row r="36" spans="1:12" ht="15" customHeight="1" x14ac:dyDescent="0.25">
      <c r="A36" s="17">
        <v>33</v>
      </c>
      <c r="B36" s="46">
        <v>46092</v>
      </c>
      <c r="C36" s="17">
        <v>2502052815</v>
      </c>
      <c r="D36" s="18" t="s">
        <v>121</v>
      </c>
      <c r="E36" s="17" t="s">
        <v>34</v>
      </c>
      <c r="F36" s="41" t="s">
        <v>66</v>
      </c>
      <c r="G36" s="17">
        <v>5</v>
      </c>
      <c r="H36" s="17" t="s">
        <v>66</v>
      </c>
      <c r="I36" s="18" t="s">
        <v>107</v>
      </c>
      <c r="J36" s="19" t="str">
        <f t="shared" si="0"/>
        <v>2026</v>
      </c>
      <c r="K36" s="19">
        <f t="shared" si="1"/>
        <v>3</v>
      </c>
    </row>
    <row r="37" spans="1:12" ht="15" customHeight="1" x14ac:dyDescent="0.25">
      <c r="A37" s="20">
        <v>34</v>
      </c>
      <c r="B37" s="47">
        <v>46092</v>
      </c>
      <c r="C37" s="20">
        <v>2407052675</v>
      </c>
      <c r="D37" s="21" t="s">
        <v>122</v>
      </c>
      <c r="E37" s="20" t="s">
        <v>38</v>
      </c>
      <c r="F37" s="42" t="s">
        <v>66</v>
      </c>
      <c r="G37" s="20">
        <v>5</v>
      </c>
      <c r="H37" s="20" t="s">
        <v>66</v>
      </c>
      <c r="I37" s="21" t="s">
        <v>123</v>
      </c>
      <c r="J37" s="22" t="str">
        <f t="shared" si="0"/>
        <v>2026</v>
      </c>
      <c r="K37" s="22">
        <f t="shared" si="1"/>
        <v>3</v>
      </c>
    </row>
    <row r="38" spans="1:12" ht="15" customHeight="1" x14ac:dyDescent="0.25">
      <c r="A38" s="17">
        <v>35</v>
      </c>
      <c r="B38" s="46">
        <v>46092</v>
      </c>
      <c r="C38" s="17">
        <v>2404052592</v>
      </c>
      <c r="D38" s="18" t="s">
        <v>124</v>
      </c>
      <c r="E38" s="17" t="s">
        <v>31</v>
      </c>
      <c r="F38" s="41" t="s">
        <v>66</v>
      </c>
      <c r="G38" s="17">
        <v>5</v>
      </c>
      <c r="H38" s="17"/>
      <c r="I38" s="18" t="s">
        <v>125</v>
      </c>
      <c r="J38" s="19" t="str">
        <f t="shared" si="0"/>
        <v>2026</v>
      </c>
      <c r="K38" s="19">
        <f t="shared" si="1"/>
        <v>3</v>
      </c>
    </row>
    <row r="39" spans="1:12" ht="15" customHeight="1" x14ac:dyDescent="0.25">
      <c r="A39" s="20">
        <v>36</v>
      </c>
      <c r="B39" s="47">
        <v>46100</v>
      </c>
      <c r="C39" s="20">
        <v>2507052954</v>
      </c>
      <c r="D39" s="21" t="s">
        <v>126</v>
      </c>
      <c r="E39" s="20" t="s">
        <v>34</v>
      </c>
      <c r="F39" s="42" t="s">
        <v>66</v>
      </c>
      <c r="G39" s="20">
        <v>5</v>
      </c>
      <c r="H39" s="20" t="s">
        <v>66</v>
      </c>
      <c r="I39" s="21" t="s">
        <v>127</v>
      </c>
      <c r="J39" s="22" t="str">
        <f t="shared" si="0"/>
        <v>2026</v>
      </c>
      <c r="K39" s="22">
        <f t="shared" si="1"/>
        <v>3</v>
      </c>
    </row>
    <row r="40" spans="1:12" ht="15" customHeight="1" x14ac:dyDescent="0.25">
      <c r="A40" s="17">
        <v>37</v>
      </c>
      <c r="B40" s="46">
        <v>46100</v>
      </c>
      <c r="C40" s="17">
        <v>2504052871</v>
      </c>
      <c r="D40" s="18" t="s">
        <v>128</v>
      </c>
      <c r="E40" s="17" t="s">
        <v>30</v>
      </c>
      <c r="F40" s="41"/>
      <c r="G40" s="17"/>
      <c r="H40" s="17"/>
      <c r="I40" s="18" t="s">
        <v>129</v>
      </c>
      <c r="J40" s="19" t="str">
        <f t="shared" si="0"/>
        <v>2026</v>
      </c>
      <c r="K40" s="19">
        <f t="shared" si="1"/>
        <v>3</v>
      </c>
      <c r="L40" t="s">
        <v>277</v>
      </c>
    </row>
    <row r="41" spans="1:12" ht="15" customHeight="1" x14ac:dyDescent="0.25">
      <c r="A41" s="20">
        <v>38</v>
      </c>
      <c r="B41" s="47">
        <v>46100</v>
      </c>
      <c r="C41" s="20">
        <v>2301052183</v>
      </c>
      <c r="D41" s="21" t="s">
        <v>130</v>
      </c>
      <c r="E41" s="20" t="s">
        <v>32</v>
      </c>
      <c r="F41" s="42" t="s">
        <v>66</v>
      </c>
      <c r="G41" s="20">
        <v>5</v>
      </c>
      <c r="H41" s="20" t="s">
        <v>66</v>
      </c>
      <c r="I41" s="21" t="s">
        <v>127</v>
      </c>
      <c r="J41" s="22" t="str">
        <f t="shared" si="0"/>
        <v>2026</v>
      </c>
      <c r="K41" s="22">
        <f t="shared" si="1"/>
        <v>3</v>
      </c>
    </row>
    <row r="42" spans="1:12" ht="15" customHeight="1" x14ac:dyDescent="0.25">
      <c r="A42" s="17">
        <v>39</v>
      </c>
      <c r="B42" s="46">
        <v>46100</v>
      </c>
      <c r="C42" s="17">
        <v>2507052961</v>
      </c>
      <c r="D42" s="18" t="s">
        <v>131</v>
      </c>
      <c r="E42" s="17" t="s">
        <v>30</v>
      </c>
      <c r="F42" s="41" t="s">
        <v>66</v>
      </c>
      <c r="G42" s="17">
        <v>5</v>
      </c>
      <c r="H42" s="17"/>
      <c r="I42" s="18" t="s">
        <v>132</v>
      </c>
      <c r="J42" s="19" t="str">
        <f t="shared" si="0"/>
        <v>2026</v>
      </c>
      <c r="K42" s="19">
        <f t="shared" si="1"/>
        <v>3</v>
      </c>
    </row>
    <row r="43" spans="1:12" ht="15" customHeight="1" x14ac:dyDescent="0.25">
      <c r="A43" s="20">
        <v>40</v>
      </c>
      <c r="B43" s="47">
        <v>46101</v>
      </c>
      <c r="C43" s="20">
        <v>2504052897</v>
      </c>
      <c r="D43" s="21" t="s">
        <v>133</v>
      </c>
      <c r="E43" s="20" t="s">
        <v>35</v>
      </c>
      <c r="F43" s="42" t="s">
        <v>66</v>
      </c>
      <c r="G43" s="20">
        <v>5</v>
      </c>
      <c r="H43" s="20" t="s">
        <v>66</v>
      </c>
      <c r="I43" s="21" t="s">
        <v>134</v>
      </c>
      <c r="J43" s="22" t="str">
        <f t="shared" si="0"/>
        <v>2026</v>
      </c>
      <c r="K43" s="22">
        <f t="shared" si="1"/>
        <v>3</v>
      </c>
    </row>
    <row r="44" spans="1:12" ht="15" customHeight="1" x14ac:dyDescent="0.25">
      <c r="A44" s="17">
        <v>41</v>
      </c>
      <c r="B44" s="46">
        <v>46104</v>
      </c>
      <c r="C44" s="17">
        <v>2507052946</v>
      </c>
      <c r="D44" s="18" t="s">
        <v>135</v>
      </c>
      <c r="E44" s="17" t="s">
        <v>30</v>
      </c>
      <c r="F44" s="41"/>
      <c r="G44" s="17"/>
      <c r="H44" s="17" t="s">
        <v>66</v>
      </c>
      <c r="I44" s="18" t="s">
        <v>136</v>
      </c>
      <c r="J44" s="19" t="str">
        <f t="shared" si="0"/>
        <v>2026</v>
      </c>
      <c r="K44" s="19">
        <f t="shared" si="1"/>
        <v>3</v>
      </c>
      <c r="L44" t="s">
        <v>277</v>
      </c>
    </row>
    <row r="45" spans="1:12" ht="15" customHeight="1" x14ac:dyDescent="0.25">
      <c r="A45" s="20">
        <v>42</v>
      </c>
      <c r="B45" s="47">
        <v>46107</v>
      </c>
      <c r="C45" s="20">
        <v>2503052842</v>
      </c>
      <c r="D45" s="21" t="s">
        <v>137</v>
      </c>
      <c r="E45" s="20" t="s">
        <v>35</v>
      </c>
      <c r="F45" s="42" t="s">
        <v>66</v>
      </c>
      <c r="G45" s="20">
        <v>5</v>
      </c>
      <c r="H45" s="20" t="s">
        <v>66</v>
      </c>
      <c r="I45" s="21" t="s">
        <v>138</v>
      </c>
      <c r="J45" s="22" t="str">
        <f t="shared" si="0"/>
        <v>2026</v>
      </c>
      <c r="K45" s="22">
        <f t="shared" si="1"/>
        <v>3</v>
      </c>
    </row>
    <row r="46" spans="1:12" ht="15" customHeight="1" x14ac:dyDescent="0.25">
      <c r="A46" s="17">
        <v>43</v>
      </c>
      <c r="B46" s="46">
        <v>46107</v>
      </c>
      <c r="C46" s="17">
        <v>2505052923</v>
      </c>
      <c r="D46" s="18" t="s">
        <v>139</v>
      </c>
      <c r="E46" s="17" t="s">
        <v>35</v>
      </c>
      <c r="F46" s="41" t="s">
        <v>66</v>
      </c>
      <c r="G46" s="17">
        <v>5</v>
      </c>
      <c r="H46" s="17" t="s">
        <v>70</v>
      </c>
      <c r="I46" s="18" t="s">
        <v>140</v>
      </c>
      <c r="J46" s="19" t="str">
        <f t="shared" si="0"/>
        <v>2026</v>
      </c>
      <c r="K46" s="19">
        <f t="shared" si="1"/>
        <v>3</v>
      </c>
    </row>
    <row r="47" spans="1:12" ht="15" customHeight="1" x14ac:dyDescent="0.25">
      <c r="A47" s="20">
        <v>44</v>
      </c>
      <c r="B47" s="47">
        <v>46108</v>
      </c>
      <c r="C47" s="20">
        <v>2404052612</v>
      </c>
      <c r="D47" s="21" t="s">
        <v>141</v>
      </c>
      <c r="E47" s="20" t="s">
        <v>31</v>
      </c>
      <c r="F47" s="42"/>
      <c r="G47" s="20"/>
      <c r="H47" s="20" t="s">
        <v>70</v>
      </c>
      <c r="I47" s="21" t="s">
        <v>142</v>
      </c>
      <c r="J47" s="22" t="str">
        <f t="shared" si="0"/>
        <v>2026</v>
      </c>
      <c r="K47" s="22">
        <f t="shared" si="1"/>
        <v>3</v>
      </c>
    </row>
    <row r="48" spans="1:12" ht="15" customHeight="1" x14ac:dyDescent="0.25">
      <c r="A48" s="17">
        <v>45</v>
      </c>
      <c r="B48" s="46">
        <v>46108</v>
      </c>
      <c r="C48" s="17">
        <v>2509052986</v>
      </c>
      <c r="D48" s="18" t="s">
        <v>143</v>
      </c>
      <c r="E48" s="17" t="s">
        <v>30</v>
      </c>
      <c r="F48" s="41" t="s">
        <v>66</v>
      </c>
      <c r="G48" s="17">
        <v>5</v>
      </c>
      <c r="H48" s="17" t="s">
        <v>66</v>
      </c>
      <c r="I48" s="18" t="s">
        <v>140</v>
      </c>
      <c r="J48" s="19" t="str">
        <f t="shared" si="0"/>
        <v>2026</v>
      </c>
      <c r="K48" s="19">
        <f t="shared" si="1"/>
        <v>3</v>
      </c>
    </row>
    <row r="49" spans="1:12" ht="15" customHeight="1" x14ac:dyDescent="0.25">
      <c r="A49" s="20">
        <v>46</v>
      </c>
      <c r="B49" s="47">
        <v>46108</v>
      </c>
      <c r="C49" s="20">
        <v>2504052874</v>
      </c>
      <c r="D49" s="21" t="s">
        <v>144</v>
      </c>
      <c r="E49" s="20" t="s">
        <v>30</v>
      </c>
      <c r="F49" s="42" t="s">
        <v>66</v>
      </c>
      <c r="G49" s="20">
        <v>5</v>
      </c>
      <c r="H49" s="20" t="s">
        <v>66</v>
      </c>
      <c r="I49" s="21" t="s">
        <v>145</v>
      </c>
      <c r="J49" s="22" t="str">
        <f t="shared" si="0"/>
        <v>2026</v>
      </c>
      <c r="K49" s="22">
        <f t="shared" si="1"/>
        <v>3</v>
      </c>
    </row>
    <row r="50" spans="1:12" ht="15" customHeight="1" x14ac:dyDescent="0.25">
      <c r="A50" s="17">
        <v>47</v>
      </c>
      <c r="B50" s="46">
        <v>46112</v>
      </c>
      <c r="C50" s="17">
        <v>2407052682</v>
      </c>
      <c r="D50" s="18" t="s">
        <v>146</v>
      </c>
      <c r="E50" s="17" t="s">
        <v>36</v>
      </c>
      <c r="F50" s="41" t="s">
        <v>67</v>
      </c>
      <c r="G50" s="17" t="s">
        <v>284</v>
      </c>
      <c r="H50" s="17" t="s">
        <v>66</v>
      </c>
      <c r="I50" s="18" t="s">
        <v>147</v>
      </c>
      <c r="J50" s="19" t="str">
        <f t="shared" si="0"/>
        <v>2026</v>
      </c>
      <c r="K50" s="19">
        <f t="shared" si="1"/>
        <v>3</v>
      </c>
      <c r="L50" t="s">
        <v>283</v>
      </c>
    </row>
    <row r="51" spans="1:12" ht="15" customHeight="1" x14ac:dyDescent="0.25">
      <c r="A51" s="20">
        <v>48</v>
      </c>
      <c r="B51" s="47">
        <v>46119</v>
      </c>
      <c r="C51" s="20">
        <v>2409052709</v>
      </c>
      <c r="D51" s="21" t="s">
        <v>148</v>
      </c>
      <c r="E51" s="20" t="s">
        <v>31</v>
      </c>
      <c r="F51" s="42" t="s">
        <v>66</v>
      </c>
      <c r="G51" s="20">
        <v>5</v>
      </c>
      <c r="H51" s="20" t="s">
        <v>66</v>
      </c>
      <c r="I51" s="21" t="s">
        <v>145</v>
      </c>
      <c r="J51" s="22" t="str">
        <f t="shared" si="0"/>
        <v>2026</v>
      </c>
      <c r="K51" s="22">
        <f t="shared" si="1"/>
        <v>4</v>
      </c>
    </row>
    <row r="52" spans="1:12" ht="15" customHeight="1" x14ac:dyDescent="0.25">
      <c r="A52" s="17">
        <v>49</v>
      </c>
      <c r="B52" s="46">
        <v>46119</v>
      </c>
      <c r="C52" s="17">
        <v>2404052598</v>
      </c>
      <c r="D52" s="18" t="s">
        <v>149</v>
      </c>
      <c r="E52" s="17" t="s">
        <v>31</v>
      </c>
      <c r="F52" s="41" t="s">
        <v>66</v>
      </c>
      <c r="G52" s="17">
        <v>5</v>
      </c>
      <c r="H52" s="17" t="s">
        <v>66</v>
      </c>
      <c r="I52" s="18" t="s">
        <v>150</v>
      </c>
      <c r="J52" s="19" t="str">
        <f t="shared" si="0"/>
        <v>2026</v>
      </c>
      <c r="K52" s="19">
        <f t="shared" si="1"/>
        <v>4</v>
      </c>
    </row>
    <row r="53" spans="1:12" ht="15" customHeight="1" x14ac:dyDescent="0.25">
      <c r="A53" s="20">
        <v>50</v>
      </c>
      <c r="B53" s="47">
        <v>46121</v>
      </c>
      <c r="C53" s="20">
        <v>2512053041</v>
      </c>
      <c r="D53" s="21" t="s">
        <v>151</v>
      </c>
      <c r="E53" s="20" t="s">
        <v>30</v>
      </c>
      <c r="F53" s="42" t="s">
        <v>66</v>
      </c>
      <c r="G53" s="20">
        <v>5</v>
      </c>
      <c r="H53" s="20" t="s">
        <v>66</v>
      </c>
      <c r="I53" s="21" t="s">
        <v>152</v>
      </c>
      <c r="J53" s="22" t="str">
        <f t="shared" si="0"/>
        <v>2026</v>
      </c>
      <c r="K53" s="22">
        <f t="shared" si="1"/>
        <v>4</v>
      </c>
      <c r="L53" t="s">
        <v>285</v>
      </c>
    </row>
    <row r="54" spans="1:12" ht="15" customHeight="1" x14ac:dyDescent="0.25">
      <c r="A54" s="17">
        <v>51</v>
      </c>
      <c r="B54" s="46">
        <v>46122</v>
      </c>
      <c r="C54" s="17">
        <v>2505052915</v>
      </c>
      <c r="D54" s="18" t="s">
        <v>153</v>
      </c>
      <c r="E54" s="17" t="s">
        <v>30</v>
      </c>
      <c r="F54" s="41" t="s">
        <v>66</v>
      </c>
      <c r="G54" s="17">
        <v>5</v>
      </c>
      <c r="H54" s="17" t="s">
        <v>66</v>
      </c>
      <c r="I54" s="18" t="s">
        <v>154</v>
      </c>
      <c r="J54" s="19" t="str">
        <f t="shared" si="0"/>
        <v>2026</v>
      </c>
      <c r="K54" s="19">
        <f t="shared" si="1"/>
        <v>4</v>
      </c>
    </row>
    <row r="55" spans="1:12" ht="15" customHeight="1" x14ac:dyDescent="0.25">
      <c r="A55" s="20">
        <v>52</v>
      </c>
      <c r="B55" s="47">
        <v>46122</v>
      </c>
      <c r="C55" s="20">
        <v>2508052972</v>
      </c>
      <c r="D55" s="21" t="s">
        <v>155</v>
      </c>
      <c r="E55" s="20" t="s">
        <v>30</v>
      </c>
      <c r="F55" s="42"/>
      <c r="G55" s="20"/>
      <c r="H55" s="20" t="s">
        <v>66</v>
      </c>
      <c r="I55" s="21" t="s">
        <v>156</v>
      </c>
      <c r="J55" s="22" t="str">
        <f t="shared" si="0"/>
        <v>2026</v>
      </c>
      <c r="K55" s="22">
        <f t="shared" si="1"/>
        <v>4</v>
      </c>
      <c r="L55" t="s">
        <v>268</v>
      </c>
    </row>
    <row r="56" spans="1:12" ht="15" customHeight="1" x14ac:dyDescent="0.25">
      <c r="A56" s="17">
        <v>53</v>
      </c>
      <c r="B56" s="46">
        <v>46122</v>
      </c>
      <c r="C56" s="17">
        <v>2504052895</v>
      </c>
      <c r="D56" s="18" t="s">
        <v>157</v>
      </c>
      <c r="E56" s="17" t="s">
        <v>31</v>
      </c>
      <c r="F56" s="41"/>
      <c r="G56" s="17"/>
      <c r="H56" s="17" t="s">
        <v>70</v>
      </c>
      <c r="I56" s="18" t="s">
        <v>158</v>
      </c>
      <c r="J56" s="19" t="str">
        <f t="shared" si="0"/>
        <v>2026</v>
      </c>
      <c r="K56" s="19">
        <f t="shared" si="1"/>
        <v>4</v>
      </c>
      <c r="L56" t="s">
        <v>268</v>
      </c>
    </row>
    <row r="57" spans="1:12" ht="15" customHeight="1" x14ac:dyDescent="0.25">
      <c r="A57" s="20">
        <v>54</v>
      </c>
      <c r="B57" s="47">
        <v>46125</v>
      </c>
      <c r="C57" s="20">
        <v>2403052575</v>
      </c>
      <c r="D57" s="21" t="s">
        <v>159</v>
      </c>
      <c r="E57" s="20" t="s">
        <v>32</v>
      </c>
      <c r="F57" s="42"/>
      <c r="G57" s="20"/>
      <c r="H57" s="20" t="s">
        <v>70</v>
      </c>
      <c r="I57" s="21" t="s">
        <v>160</v>
      </c>
      <c r="J57" s="22" t="str">
        <f t="shared" si="0"/>
        <v>2026</v>
      </c>
      <c r="K57" s="22">
        <f t="shared" si="1"/>
        <v>4</v>
      </c>
    </row>
    <row r="58" spans="1:12" ht="15" customHeight="1" x14ac:dyDescent="0.25">
      <c r="A58" s="17">
        <v>55</v>
      </c>
      <c r="B58" s="46">
        <v>46125</v>
      </c>
      <c r="C58" s="17">
        <v>2404052611</v>
      </c>
      <c r="D58" s="18" t="s">
        <v>161</v>
      </c>
      <c r="E58" s="17" t="s">
        <v>31</v>
      </c>
      <c r="F58" s="41"/>
      <c r="G58" s="17"/>
      <c r="H58" s="17" t="s">
        <v>162</v>
      </c>
      <c r="I58" s="18" t="s">
        <v>163</v>
      </c>
      <c r="J58" s="19" t="str">
        <f t="shared" si="0"/>
        <v>2026</v>
      </c>
      <c r="K58" s="19">
        <f t="shared" si="1"/>
        <v>4</v>
      </c>
      <c r="L58" t="s">
        <v>268</v>
      </c>
    </row>
    <row r="59" spans="1:12" ht="15" customHeight="1" x14ac:dyDescent="0.25">
      <c r="A59" s="20">
        <v>56</v>
      </c>
      <c r="B59" s="47">
        <v>46126</v>
      </c>
      <c r="C59" s="20">
        <v>2404052594</v>
      </c>
      <c r="D59" s="21" t="s">
        <v>164</v>
      </c>
      <c r="E59" s="20" t="s">
        <v>31</v>
      </c>
      <c r="F59" s="42"/>
      <c r="G59" s="20"/>
      <c r="H59" s="20" t="s">
        <v>66</v>
      </c>
      <c r="I59" s="21" t="s">
        <v>165</v>
      </c>
      <c r="J59" s="22" t="str">
        <f t="shared" si="0"/>
        <v>2026</v>
      </c>
      <c r="K59" s="22">
        <f t="shared" si="1"/>
        <v>4</v>
      </c>
    </row>
    <row r="60" spans="1:12" ht="15" customHeight="1" x14ac:dyDescent="0.25">
      <c r="A60" s="17">
        <v>57</v>
      </c>
      <c r="B60" s="46">
        <v>46128</v>
      </c>
      <c r="C60" s="17">
        <v>2504052890</v>
      </c>
      <c r="D60" s="18" t="s">
        <v>166</v>
      </c>
      <c r="E60" s="17" t="s">
        <v>31</v>
      </c>
      <c r="F60" s="41"/>
      <c r="G60" s="17"/>
      <c r="H60" s="17" t="s">
        <v>66</v>
      </c>
      <c r="I60" s="18" t="s">
        <v>167</v>
      </c>
      <c r="J60" s="19" t="str">
        <f t="shared" si="0"/>
        <v>2026</v>
      </c>
      <c r="K60" s="19">
        <f t="shared" si="1"/>
        <v>4</v>
      </c>
      <c r="L60" t="s">
        <v>268</v>
      </c>
    </row>
    <row r="61" spans="1:12" ht="15" customHeight="1" x14ac:dyDescent="0.25">
      <c r="A61" s="20">
        <v>58</v>
      </c>
      <c r="B61" s="47">
        <v>46128</v>
      </c>
      <c r="C61" s="20">
        <v>2504052893</v>
      </c>
      <c r="D61" s="21" t="s">
        <v>168</v>
      </c>
      <c r="E61" s="20" t="s">
        <v>32</v>
      </c>
      <c r="F61" s="42"/>
      <c r="G61" s="20"/>
      <c r="H61" s="20" t="s">
        <v>66</v>
      </c>
      <c r="I61" s="21" t="s">
        <v>169</v>
      </c>
      <c r="J61" s="22" t="str">
        <f t="shared" si="0"/>
        <v>2026</v>
      </c>
      <c r="K61" s="22">
        <f t="shared" si="1"/>
        <v>4</v>
      </c>
    </row>
    <row r="62" spans="1:12" ht="15" customHeight="1" x14ac:dyDescent="0.25">
      <c r="A62" s="17">
        <v>59</v>
      </c>
      <c r="B62" s="46">
        <v>46130</v>
      </c>
      <c r="C62" s="17">
        <v>2502052812</v>
      </c>
      <c r="D62" s="18" t="s">
        <v>170</v>
      </c>
      <c r="E62" s="17" t="s">
        <v>30</v>
      </c>
      <c r="F62" s="41"/>
      <c r="G62" s="17"/>
      <c r="H62" s="17" t="s">
        <v>66</v>
      </c>
      <c r="I62" s="18" t="s">
        <v>171</v>
      </c>
      <c r="J62" s="19" t="str">
        <f t="shared" si="0"/>
        <v>2026</v>
      </c>
      <c r="K62" s="19">
        <f t="shared" si="1"/>
        <v>4</v>
      </c>
      <c r="L62" t="s">
        <v>267</v>
      </c>
    </row>
    <row r="63" spans="1:12" ht="15" customHeight="1" x14ac:dyDescent="0.25">
      <c r="A63" s="20">
        <v>60</v>
      </c>
      <c r="B63" s="47">
        <v>46133</v>
      </c>
      <c r="C63" s="20">
        <v>2503052861</v>
      </c>
      <c r="D63" s="21" t="s">
        <v>172</v>
      </c>
      <c r="E63" s="20" t="s">
        <v>30</v>
      </c>
      <c r="F63" s="42"/>
      <c r="G63" s="20"/>
      <c r="H63" s="20" t="s">
        <v>66</v>
      </c>
      <c r="I63" s="21" t="s">
        <v>173</v>
      </c>
      <c r="J63" s="22" t="str">
        <f t="shared" si="0"/>
        <v>2026</v>
      </c>
      <c r="K63" s="22">
        <f t="shared" si="1"/>
        <v>4</v>
      </c>
      <c r="L63" t="s">
        <v>268</v>
      </c>
    </row>
    <row r="64" spans="1:12" ht="15" customHeight="1" x14ac:dyDescent="0.25">
      <c r="A64" s="17">
        <v>61</v>
      </c>
      <c r="B64" s="46">
        <v>46135</v>
      </c>
      <c r="C64" s="17">
        <v>2502052813</v>
      </c>
      <c r="D64" s="18" t="s">
        <v>174</v>
      </c>
      <c r="E64" s="17" t="s">
        <v>30</v>
      </c>
      <c r="F64" s="41" t="s">
        <v>66</v>
      </c>
      <c r="G64" s="17">
        <v>5</v>
      </c>
      <c r="H64" s="17" t="s">
        <v>66</v>
      </c>
      <c r="I64" s="18" t="s">
        <v>175</v>
      </c>
      <c r="J64" s="19" t="str">
        <f t="shared" si="0"/>
        <v>2026</v>
      </c>
      <c r="K64" s="19">
        <f t="shared" si="1"/>
        <v>4</v>
      </c>
      <c r="L64" t="s">
        <v>248</v>
      </c>
    </row>
    <row r="65" spans="1:15" ht="15" customHeight="1" x14ac:dyDescent="0.25">
      <c r="A65" s="20">
        <v>62</v>
      </c>
      <c r="B65" s="47">
        <v>46136</v>
      </c>
      <c r="C65" s="20">
        <v>2505052911</v>
      </c>
      <c r="D65" s="21" t="s">
        <v>176</v>
      </c>
      <c r="E65" s="20" t="s">
        <v>32</v>
      </c>
      <c r="F65" s="42" t="s">
        <v>66</v>
      </c>
      <c r="G65" s="20">
        <v>5</v>
      </c>
      <c r="H65" s="20" t="s">
        <v>70</v>
      </c>
      <c r="I65" s="21" t="s">
        <v>177</v>
      </c>
      <c r="J65" s="22" t="str">
        <f t="shared" si="0"/>
        <v>2026</v>
      </c>
      <c r="K65" s="22">
        <f t="shared" si="1"/>
        <v>4</v>
      </c>
      <c r="L65" t="s">
        <v>242</v>
      </c>
      <c r="O65" t="s">
        <v>280</v>
      </c>
    </row>
    <row r="66" spans="1:15" ht="15" customHeight="1" x14ac:dyDescent="0.25">
      <c r="A66" s="17">
        <v>63</v>
      </c>
      <c r="B66" s="46">
        <v>46142</v>
      </c>
      <c r="C66" s="17">
        <v>2507052947</v>
      </c>
      <c r="D66" s="18" t="s">
        <v>178</v>
      </c>
      <c r="E66" s="17" t="s">
        <v>38</v>
      </c>
      <c r="F66" s="41" t="s">
        <v>70</v>
      </c>
      <c r="G66" s="17">
        <v>5</v>
      </c>
      <c r="H66" s="17" t="s">
        <v>66</v>
      </c>
      <c r="I66" s="18" t="s">
        <v>179</v>
      </c>
      <c r="J66" s="19" t="str">
        <f t="shared" si="0"/>
        <v>2026</v>
      </c>
      <c r="K66" s="19">
        <f t="shared" si="1"/>
        <v>4</v>
      </c>
    </row>
    <row r="67" spans="1:15" ht="15" customHeight="1" x14ac:dyDescent="0.25">
      <c r="A67" s="20">
        <v>64</v>
      </c>
      <c r="B67" s="47">
        <v>46142</v>
      </c>
      <c r="C67" s="20">
        <v>2503052852</v>
      </c>
      <c r="D67" s="21" t="s">
        <v>180</v>
      </c>
      <c r="E67" s="20" t="s">
        <v>37</v>
      </c>
      <c r="F67" s="42" t="s">
        <v>66</v>
      </c>
      <c r="G67" s="20">
        <v>5</v>
      </c>
      <c r="H67" s="20" t="s">
        <v>66</v>
      </c>
      <c r="I67" s="21" t="s">
        <v>181</v>
      </c>
      <c r="J67" s="22" t="str">
        <f t="shared" si="0"/>
        <v>2026</v>
      </c>
      <c r="K67" s="22">
        <f t="shared" si="1"/>
        <v>4</v>
      </c>
    </row>
    <row r="68" spans="1:15" ht="15" customHeight="1" x14ac:dyDescent="0.25">
      <c r="A68" s="20">
        <v>65</v>
      </c>
      <c r="B68" s="47">
        <v>46149</v>
      </c>
      <c r="C68" s="20">
        <v>2508052965</v>
      </c>
      <c r="D68" s="21" t="s">
        <v>246</v>
      </c>
      <c r="E68" s="20" t="s">
        <v>38</v>
      </c>
      <c r="F68" s="42" t="s">
        <v>66</v>
      </c>
      <c r="G68" s="20">
        <v>5</v>
      </c>
      <c r="H68" s="20" t="s">
        <v>66</v>
      </c>
      <c r="I68" s="21" t="s">
        <v>247</v>
      </c>
      <c r="J68" s="22" t="str">
        <f t="shared" si="0"/>
        <v>2026</v>
      </c>
      <c r="K68" s="22">
        <f t="shared" si="1"/>
        <v>5</v>
      </c>
      <c r="L68" t="s">
        <v>248</v>
      </c>
    </row>
    <row r="69" spans="1:15" ht="15" customHeight="1" x14ac:dyDescent="0.25">
      <c r="A69" s="17">
        <v>66</v>
      </c>
      <c r="B69" s="46">
        <v>46149</v>
      </c>
      <c r="C69" s="17">
        <v>2503052865</v>
      </c>
      <c r="D69" s="18" t="s">
        <v>182</v>
      </c>
      <c r="E69" s="17" t="s">
        <v>34</v>
      </c>
      <c r="F69" s="41"/>
      <c r="G69" s="17"/>
      <c r="H69" s="17" t="s">
        <v>66</v>
      </c>
      <c r="I69" s="18" t="s">
        <v>183</v>
      </c>
      <c r="J69" s="19" t="str">
        <f t="shared" ref="J69:J133" si="2">IFERROR(IF(B69="","",IF(ISNUMBER(B69),TEXT(YEAR(B69),"0"),"")),"")</f>
        <v>2026</v>
      </c>
      <c r="K69" s="19">
        <f t="shared" ref="K69:K133" si="3">IFERROR(IF(B69="","",IF(ISNUMBER(B69),MONTH(B69),"")),"")</f>
        <v>5</v>
      </c>
      <c r="L69" t="s">
        <v>136</v>
      </c>
    </row>
    <row r="70" spans="1:15" ht="15" customHeight="1" x14ac:dyDescent="0.25">
      <c r="A70" s="20">
        <v>67</v>
      </c>
      <c r="B70" s="47">
        <v>46149</v>
      </c>
      <c r="C70" s="20">
        <v>2512053040</v>
      </c>
      <c r="D70" s="21" t="s">
        <v>184</v>
      </c>
      <c r="E70" s="20" t="s">
        <v>33</v>
      </c>
      <c r="F70" s="42" t="s">
        <v>70</v>
      </c>
      <c r="G70" s="20">
        <v>5</v>
      </c>
      <c r="H70" s="20" t="s">
        <v>66</v>
      </c>
      <c r="I70" s="21" t="s">
        <v>185</v>
      </c>
      <c r="J70" s="22" t="str">
        <f t="shared" si="2"/>
        <v>2026</v>
      </c>
      <c r="K70" s="22">
        <f t="shared" si="3"/>
        <v>5</v>
      </c>
    </row>
    <row r="71" spans="1:15" ht="15" customHeight="1" x14ac:dyDescent="0.25">
      <c r="A71" s="17">
        <v>68</v>
      </c>
      <c r="B71" s="46">
        <v>46098</v>
      </c>
      <c r="C71" s="17">
        <v>2407052688</v>
      </c>
      <c r="D71" s="18" t="s">
        <v>186</v>
      </c>
      <c r="E71" s="17" t="s">
        <v>32</v>
      </c>
      <c r="F71" s="41"/>
      <c r="G71" s="17"/>
      <c r="H71" s="17" t="s">
        <v>66</v>
      </c>
      <c r="I71" s="18" t="s">
        <v>127</v>
      </c>
      <c r="J71" s="19" t="str">
        <f t="shared" si="2"/>
        <v>2026</v>
      </c>
      <c r="K71" s="19">
        <f t="shared" si="3"/>
        <v>3</v>
      </c>
    </row>
    <row r="72" spans="1:15" ht="15" customHeight="1" x14ac:dyDescent="0.25">
      <c r="A72" s="34">
        <v>69</v>
      </c>
      <c r="B72" s="46">
        <v>46150</v>
      </c>
      <c r="C72" s="39">
        <v>2507052950</v>
      </c>
      <c r="D72" t="s">
        <v>233</v>
      </c>
      <c r="E72" s="34" t="s">
        <v>30</v>
      </c>
      <c r="F72" s="43" t="s">
        <v>70</v>
      </c>
      <c r="G72">
        <v>5</v>
      </c>
      <c r="H72" s="34" t="s">
        <v>66</v>
      </c>
      <c r="I72" s="35" t="s">
        <v>234</v>
      </c>
      <c r="J72" s="39" t="str">
        <f t="shared" si="2"/>
        <v>2026</v>
      </c>
      <c r="K72" s="39">
        <v>5</v>
      </c>
    </row>
    <row r="73" spans="1:15" ht="15" customHeight="1" x14ac:dyDescent="0.25">
      <c r="A73" s="36">
        <v>70</v>
      </c>
      <c r="B73" s="46">
        <v>46150</v>
      </c>
      <c r="C73" s="39">
        <v>2601053061</v>
      </c>
      <c r="D73" t="s">
        <v>235</v>
      </c>
      <c r="E73" s="36" t="s">
        <v>31</v>
      </c>
      <c r="H73" s="36" t="s">
        <v>66</v>
      </c>
      <c r="I73" s="37" t="s">
        <v>236</v>
      </c>
      <c r="J73" s="39" t="str">
        <f t="shared" si="2"/>
        <v>2026</v>
      </c>
      <c r="K73" s="39">
        <f t="shared" si="3"/>
        <v>5</v>
      </c>
    </row>
    <row r="74" spans="1:15" ht="15" customHeight="1" x14ac:dyDescent="0.25">
      <c r="A74" s="36">
        <v>71</v>
      </c>
      <c r="B74" s="46">
        <v>46178</v>
      </c>
      <c r="C74" s="39">
        <v>2502052814</v>
      </c>
      <c r="D74" t="s">
        <v>237</v>
      </c>
      <c r="E74" s="36" t="s">
        <v>30</v>
      </c>
      <c r="H74" s="36" t="s">
        <v>66</v>
      </c>
      <c r="I74" s="37" t="s">
        <v>238</v>
      </c>
      <c r="J74" s="39">
        <v>2026</v>
      </c>
      <c r="K74" s="39">
        <v>6</v>
      </c>
      <c r="L74" t="s">
        <v>252</v>
      </c>
    </row>
    <row r="75" spans="1:15" ht="15" customHeight="1" x14ac:dyDescent="0.25">
      <c r="A75" s="36">
        <v>72</v>
      </c>
      <c r="B75" s="46">
        <v>46170</v>
      </c>
      <c r="C75" s="39">
        <v>2312052476</v>
      </c>
      <c r="D75" t="s">
        <v>250</v>
      </c>
      <c r="E75" s="36" t="s">
        <v>38</v>
      </c>
      <c r="H75" s="36" t="s">
        <v>70</v>
      </c>
      <c r="I75" s="37" t="s">
        <v>251</v>
      </c>
      <c r="J75" s="39">
        <v>2026</v>
      </c>
      <c r="K75" s="39">
        <v>5</v>
      </c>
      <c r="L75" t="s">
        <v>278</v>
      </c>
      <c r="N75" t="s">
        <v>279</v>
      </c>
    </row>
    <row r="76" spans="1:15" ht="15" customHeight="1" x14ac:dyDescent="0.25">
      <c r="A76" s="34">
        <v>73</v>
      </c>
      <c r="B76" s="46">
        <v>46174</v>
      </c>
      <c r="C76" s="39">
        <v>2508052970</v>
      </c>
      <c r="D76" t="s">
        <v>239</v>
      </c>
      <c r="E76" s="34" t="s">
        <v>30</v>
      </c>
      <c r="H76" s="34" t="s">
        <v>66</v>
      </c>
      <c r="I76" s="35" t="s">
        <v>241</v>
      </c>
      <c r="J76" s="39">
        <v>2026</v>
      </c>
      <c r="K76" s="39">
        <v>6</v>
      </c>
      <c r="L76" t="s">
        <v>242</v>
      </c>
    </row>
    <row r="77" spans="1:15" ht="15" customHeight="1" x14ac:dyDescent="0.25">
      <c r="A77" s="36">
        <v>74</v>
      </c>
      <c r="B77" s="46">
        <v>46176</v>
      </c>
      <c r="C77" s="39">
        <v>2603000480</v>
      </c>
      <c r="D77" t="s">
        <v>240</v>
      </c>
      <c r="E77" s="36" t="s">
        <v>30</v>
      </c>
      <c r="H77" s="36" t="s">
        <v>66</v>
      </c>
      <c r="I77" s="37" t="s">
        <v>243</v>
      </c>
      <c r="J77" s="39">
        <v>2026</v>
      </c>
      <c r="K77" s="39">
        <v>6</v>
      </c>
      <c r="L77" t="s">
        <v>242</v>
      </c>
    </row>
    <row r="78" spans="1:15" ht="15" customHeight="1" x14ac:dyDescent="0.25">
      <c r="A78" s="36">
        <v>75</v>
      </c>
      <c r="B78" s="46">
        <v>46183</v>
      </c>
      <c r="C78" s="39">
        <v>2402052525</v>
      </c>
      <c r="D78" t="s">
        <v>244</v>
      </c>
      <c r="E78" s="34" t="s">
        <v>30</v>
      </c>
      <c r="F78" s="43" t="s">
        <v>66</v>
      </c>
      <c r="G78">
        <v>4</v>
      </c>
      <c r="H78" s="34" t="s">
        <v>66</v>
      </c>
      <c r="I78" s="35" t="s">
        <v>245</v>
      </c>
      <c r="J78" s="39" t="str">
        <f t="shared" si="2"/>
        <v>2026</v>
      </c>
      <c r="K78" s="39">
        <f t="shared" si="3"/>
        <v>6</v>
      </c>
      <c r="L78" t="s">
        <v>242</v>
      </c>
    </row>
    <row r="79" spans="1:15" ht="15" customHeight="1" x14ac:dyDescent="0.25">
      <c r="A79" s="49">
        <v>76</v>
      </c>
      <c r="B79" s="46">
        <v>46157</v>
      </c>
      <c r="C79">
        <v>2508052971</v>
      </c>
      <c r="D79" t="s">
        <v>253</v>
      </c>
      <c r="E79" s="36" t="s">
        <v>30</v>
      </c>
      <c r="H79" s="36" t="s">
        <v>66</v>
      </c>
      <c r="I79" s="37" t="s">
        <v>254</v>
      </c>
      <c r="J79" s="39" t="str">
        <f t="shared" si="2"/>
        <v>2026</v>
      </c>
      <c r="K79" s="39">
        <f t="shared" si="3"/>
        <v>5</v>
      </c>
      <c r="L79" t="s">
        <v>242</v>
      </c>
    </row>
    <row r="80" spans="1:15" ht="15" customHeight="1" x14ac:dyDescent="0.25">
      <c r="A80" s="44">
        <v>77</v>
      </c>
      <c r="B80" s="48">
        <v>46174</v>
      </c>
      <c r="C80" s="39">
        <v>2507052957</v>
      </c>
      <c r="D80" t="s">
        <v>255</v>
      </c>
      <c r="E80" s="34" t="s">
        <v>30</v>
      </c>
      <c r="F80" s="43" t="s">
        <v>66</v>
      </c>
      <c r="G80">
        <v>5</v>
      </c>
      <c r="H80" s="34" t="s">
        <v>66</v>
      </c>
      <c r="I80" s="35" t="s">
        <v>266</v>
      </c>
      <c r="J80" s="39" t="str">
        <f t="shared" si="2"/>
        <v>2026</v>
      </c>
      <c r="K80" s="39">
        <f t="shared" si="3"/>
        <v>6</v>
      </c>
      <c r="L80" t="s">
        <v>252</v>
      </c>
    </row>
    <row r="81" spans="1:18" ht="15" customHeight="1" x14ac:dyDescent="0.25">
      <c r="A81" s="49">
        <v>78</v>
      </c>
      <c r="B81" s="48">
        <v>46174</v>
      </c>
      <c r="C81" s="39">
        <v>2402052544</v>
      </c>
      <c r="D81" t="s">
        <v>293</v>
      </c>
      <c r="E81" s="34" t="s">
        <v>38</v>
      </c>
      <c r="H81" s="34" t="s">
        <v>66</v>
      </c>
      <c r="I81" s="35" t="s">
        <v>294</v>
      </c>
      <c r="J81" s="39">
        <v>2026</v>
      </c>
      <c r="K81" s="39">
        <v>6</v>
      </c>
    </row>
    <row r="82" spans="1:18" ht="15" customHeight="1" x14ac:dyDescent="0.25">
      <c r="A82" s="44">
        <v>79</v>
      </c>
      <c r="B82" s="48">
        <v>46189</v>
      </c>
      <c r="C82" s="39">
        <v>2407052666</v>
      </c>
      <c r="D82" t="s">
        <v>256</v>
      </c>
      <c r="E82" s="36" t="s">
        <v>34</v>
      </c>
      <c r="F82" s="43" t="s">
        <v>66</v>
      </c>
      <c r="G82">
        <v>5</v>
      </c>
      <c r="H82" s="36" t="s">
        <v>66</v>
      </c>
      <c r="I82" s="37" t="s">
        <v>257</v>
      </c>
      <c r="J82" s="39" t="str">
        <f t="shared" si="2"/>
        <v>2026</v>
      </c>
      <c r="K82" s="39">
        <f t="shared" si="3"/>
        <v>6</v>
      </c>
    </row>
    <row r="83" spans="1:18" ht="15" customHeight="1" x14ac:dyDescent="0.25">
      <c r="A83" s="49">
        <v>80</v>
      </c>
      <c r="B83" s="48">
        <v>46190</v>
      </c>
      <c r="C83" s="39">
        <v>2503052848</v>
      </c>
      <c r="D83" t="s">
        <v>263</v>
      </c>
      <c r="E83" s="34" t="s">
        <v>32</v>
      </c>
      <c r="F83" s="43" t="s">
        <v>284</v>
      </c>
      <c r="I83" s="35" t="s">
        <v>261</v>
      </c>
      <c r="J83" s="39" t="str">
        <f t="shared" si="2"/>
        <v>2026</v>
      </c>
      <c r="K83" s="39">
        <f t="shared" si="3"/>
        <v>6</v>
      </c>
      <c r="L83" t="s">
        <v>262</v>
      </c>
      <c r="N83" t="s">
        <v>291</v>
      </c>
    </row>
    <row r="84" spans="1:18" ht="15" customHeight="1" x14ac:dyDescent="0.25">
      <c r="A84" s="44">
        <v>81</v>
      </c>
      <c r="B84" s="48">
        <v>46191</v>
      </c>
      <c r="C84" s="39">
        <v>2401052479</v>
      </c>
      <c r="D84" t="s">
        <v>258</v>
      </c>
      <c r="E84" t="s">
        <v>31</v>
      </c>
      <c r="H84" t="s">
        <v>66</v>
      </c>
      <c r="I84" t="s">
        <v>260</v>
      </c>
      <c r="J84" s="39" t="str">
        <f t="shared" si="2"/>
        <v>2026</v>
      </c>
      <c r="K84" s="39">
        <f t="shared" si="3"/>
        <v>6</v>
      </c>
      <c r="L84" t="s">
        <v>259</v>
      </c>
    </row>
    <row r="85" spans="1:18" ht="15" customHeight="1" x14ac:dyDescent="0.25">
      <c r="A85" s="49">
        <v>82</v>
      </c>
      <c r="B85" s="48">
        <v>46192</v>
      </c>
      <c r="C85" s="39">
        <v>2504052868</v>
      </c>
      <c r="D85" t="s">
        <v>264</v>
      </c>
      <c r="E85" t="s">
        <v>34</v>
      </c>
      <c r="F85" s="43" t="s">
        <v>66</v>
      </c>
      <c r="G85">
        <v>5</v>
      </c>
      <c r="H85" t="s">
        <v>66</v>
      </c>
      <c r="I85" t="s">
        <v>265</v>
      </c>
      <c r="J85" s="39" t="str">
        <f t="shared" si="2"/>
        <v>2026</v>
      </c>
      <c r="K85" s="39">
        <f t="shared" si="3"/>
        <v>6</v>
      </c>
    </row>
    <row r="86" spans="1:18" ht="15" customHeight="1" x14ac:dyDescent="0.25">
      <c r="A86" s="44">
        <v>83</v>
      </c>
      <c r="B86" s="48">
        <v>46195</v>
      </c>
      <c r="C86" s="39">
        <v>2412052781</v>
      </c>
      <c r="D86" t="s">
        <v>269</v>
      </c>
      <c r="E86" t="s">
        <v>34</v>
      </c>
      <c r="H86" t="s">
        <v>66</v>
      </c>
      <c r="I86" t="s">
        <v>270</v>
      </c>
      <c r="J86" s="39" t="str">
        <f t="shared" si="2"/>
        <v>2026</v>
      </c>
      <c r="K86" s="39">
        <f t="shared" si="3"/>
        <v>6</v>
      </c>
      <c r="L86" t="s">
        <v>271</v>
      </c>
    </row>
    <row r="87" spans="1:18" ht="15" customHeight="1" x14ac:dyDescent="0.25">
      <c r="A87" s="49">
        <v>84</v>
      </c>
      <c r="B87" s="48">
        <v>46198</v>
      </c>
      <c r="C87" s="39">
        <v>2510053001</v>
      </c>
      <c r="D87" t="s">
        <v>272</v>
      </c>
      <c r="E87" t="s">
        <v>32</v>
      </c>
      <c r="H87" t="s">
        <v>66</v>
      </c>
      <c r="I87" t="s">
        <v>273</v>
      </c>
      <c r="J87" s="39" t="str">
        <f t="shared" si="2"/>
        <v>2026</v>
      </c>
      <c r="K87" s="39">
        <f t="shared" si="3"/>
        <v>6</v>
      </c>
      <c r="L87" t="s">
        <v>242</v>
      </c>
    </row>
    <row r="88" spans="1:18" ht="15" customHeight="1" x14ac:dyDescent="0.25">
      <c r="A88" s="44">
        <v>85</v>
      </c>
      <c r="B88" s="48">
        <v>46201</v>
      </c>
      <c r="C88">
        <v>2602053070</v>
      </c>
      <c r="D88" t="s">
        <v>274</v>
      </c>
      <c r="E88" t="s">
        <v>31</v>
      </c>
      <c r="I88" t="s">
        <v>275</v>
      </c>
      <c r="J88" s="39" t="str">
        <f t="shared" si="2"/>
        <v>2026</v>
      </c>
      <c r="K88" s="39">
        <f t="shared" si="3"/>
        <v>6</v>
      </c>
    </row>
    <row r="89" spans="1:18" ht="15" customHeight="1" x14ac:dyDescent="0.25">
      <c r="A89" s="49">
        <v>86</v>
      </c>
      <c r="B89" s="48">
        <v>46204</v>
      </c>
      <c r="C89" s="39">
        <v>2502052823</v>
      </c>
      <c r="D89" t="s">
        <v>281</v>
      </c>
      <c r="E89" t="s">
        <v>34</v>
      </c>
      <c r="H89" t="s">
        <v>67</v>
      </c>
      <c r="I89" t="s">
        <v>282</v>
      </c>
      <c r="J89" s="39" t="str">
        <f t="shared" si="2"/>
        <v>2026</v>
      </c>
      <c r="K89" s="39">
        <f t="shared" si="3"/>
        <v>7</v>
      </c>
    </row>
    <row r="90" spans="1:18" ht="15" customHeight="1" x14ac:dyDescent="0.25">
      <c r="A90" s="44">
        <v>87</v>
      </c>
      <c r="B90" s="48">
        <v>46205</v>
      </c>
      <c r="C90" s="39">
        <v>2503052850</v>
      </c>
      <c r="D90" t="s">
        <v>286</v>
      </c>
      <c r="E90" t="s">
        <v>30</v>
      </c>
      <c r="F90" s="43" t="s">
        <v>66</v>
      </c>
      <c r="G90">
        <v>5</v>
      </c>
      <c r="H90" t="s">
        <v>66</v>
      </c>
      <c r="I90" t="s">
        <v>288</v>
      </c>
      <c r="J90" s="39" t="str">
        <f t="shared" si="2"/>
        <v>2026</v>
      </c>
      <c r="K90" s="39">
        <f t="shared" si="3"/>
        <v>7</v>
      </c>
      <c r="L90" t="s">
        <v>287</v>
      </c>
      <c r="P90" t="s">
        <v>289</v>
      </c>
      <c r="R90" t="s">
        <v>290</v>
      </c>
    </row>
    <row r="91" spans="1:18" ht="15" customHeight="1" x14ac:dyDescent="0.25">
      <c r="A91" s="55">
        <v>88</v>
      </c>
      <c r="B91" s="48">
        <v>46210</v>
      </c>
      <c r="C91" s="39">
        <v>2402052522</v>
      </c>
      <c r="D91" t="s">
        <v>295</v>
      </c>
      <c r="E91" t="s">
        <v>30</v>
      </c>
      <c r="H91" t="s">
        <v>66</v>
      </c>
      <c r="I91" t="s">
        <v>296</v>
      </c>
      <c r="J91" s="39" t="str">
        <f t="shared" si="2"/>
        <v>2026</v>
      </c>
      <c r="K91" s="39">
        <f t="shared" si="3"/>
        <v>7</v>
      </c>
    </row>
    <row r="92" spans="1:18" ht="15" customHeight="1" x14ac:dyDescent="0.25">
      <c r="J92" s="39" t="str">
        <f t="shared" si="2"/>
        <v/>
      </c>
      <c r="K92" s="39" t="str">
        <f t="shared" si="3"/>
        <v/>
      </c>
    </row>
    <row r="93" spans="1:18" ht="15" customHeight="1" x14ac:dyDescent="0.25">
      <c r="D93" t="s">
        <v>292</v>
      </c>
      <c r="J93" s="39" t="str">
        <f t="shared" si="2"/>
        <v/>
      </c>
      <c r="K93" s="39" t="str">
        <f t="shared" si="3"/>
        <v/>
      </c>
    </row>
    <row r="94" spans="1:18" ht="15" customHeight="1" x14ac:dyDescent="0.25">
      <c r="J94" s="39" t="str">
        <f t="shared" si="2"/>
        <v/>
      </c>
      <c r="K94" s="39" t="str">
        <f t="shared" si="3"/>
        <v/>
      </c>
    </row>
    <row r="95" spans="1:18" ht="15" customHeight="1" x14ac:dyDescent="0.25">
      <c r="J95" s="39" t="str">
        <f t="shared" si="2"/>
        <v/>
      </c>
      <c r="K95" s="39" t="str">
        <f t="shared" si="3"/>
        <v/>
      </c>
    </row>
    <row r="96" spans="1:18" ht="15" customHeight="1" x14ac:dyDescent="0.25">
      <c r="J96" s="39" t="str">
        <f t="shared" si="2"/>
        <v/>
      </c>
      <c r="K96" s="39" t="str">
        <f t="shared" si="3"/>
        <v/>
      </c>
    </row>
    <row r="97" spans="10:11" ht="15" customHeight="1" x14ac:dyDescent="0.25">
      <c r="J97" s="39" t="str">
        <f t="shared" si="2"/>
        <v/>
      </c>
      <c r="K97" s="39" t="str">
        <f t="shared" si="3"/>
        <v/>
      </c>
    </row>
    <row r="98" spans="10:11" ht="15" customHeight="1" x14ac:dyDescent="0.25">
      <c r="J98" s="39" t="str">
        <f t="shared" si="2"/>
        <v/>
      </c>
      <c r="K98" s="39" t="str">
        <f t="shared" si="3"/>
        <v/>
      </c>
    </row>
    <row r="99" spans="10:11" ht="15" customHeight="1" x14ac:dyDescent="0.25">
      <c r="J99" s="39" t="str">
        <f t="shared" si="2"/>
        <v/>
      </c>
      <c r="K99" s="39" t="str">
        <f t="shared" si="3"/>
        <v/>
      </c>
    </row>
    <row r="100" spans="10:11" ht="15" customHeight="1" x14ac:dyDescent="0.25">
      <c r="J100" s="39" t="str">
        <f t="shared" si="2"/>
        <v/>
      </c>
      <c r="K100" s="39" t="str">
        <f t="shared" si="3"/>
        <v/>
      </c>
    </row>
    <row r="101" spans="10:11" ht="15" customHeight="1" x14ac:dyDescent="0.25">
      <c r="J101" s="39" t="str">
        <f t="shared" si="2"/>
        <v/>
      </c>
      <c r="K101" s="39" t="str">
        <f t="shared" si="3"/>
        <v/>
      </c>
    </row>
    <row r="102" spans="10:11" ht="15" customHeight="1" x14ac:dyDescent="0.25">
      <c r="J102" s="39" t="str">
        <f t="shared" si="2"/>
        <v/>
      </c>
      <c r="K102" s="39" t="str">
        <f t="shared" si="3"/>
        <v/>
      </c>
    </row>
    <row r="103" spans="10:11" ht="15" customHeight="1" x14ac:dyDescent="0.25">
      <c r="J103" s="39" t="str">
        <f t="shared" si="2"/>
        <v/>
      </c>
      <c r="K103" s="39" t="str">
        <f t="shared" si="3"/>
        <v/>
      </c>
    </row>
    <row r="104" spans="10:11" ht="15" customHeight="1" x14ac:dyDescent="0.25">
      <c r="J104" s="39" t="str">
        <f t="shared" si="2"/>
        <v/>
      </c>
      <c r="K104" s="39" t="str">
        <f t="shared" si="3"/>
        <v/>
      </c>
    </row>
    <row r="105" spans="10:11" ht="15" customHeight="1" x14ac:dyDescent="0.25">
      <c r="J105" s="39" t="str">
        <f t="shared" si="2"/>
        <v/>
      </c>
      <c r="K105" s="39" t="str">
        <f t="shared" si="3"/>
        <v/>
      </c>
    </row>
    <row r="106" spans="10:11" ht="15" customHeight="1" x14ac:dyDescent="0.25">
      <c r="J106" s="39" t="str">
        <f t="shared" si="2"/>
        <v/>
      </c>
      <c r="K106" s="39" t="str">
        <f t="shared" si="3"/>
        <v/>
      </c>
    </row>
    <row r="107" spans="10:11" ht="15" customHeight="1" x14ac:dyDescent="0.25">
      <c r="J107" s="39" t="str">
        <f t="shared" si="2"/>
        <v/>
      </c>
      <c r="K107" s="39" t="str">
        <f t="shared" si="3"/>
        <v/>
      </c>
    </row>
    <row r="108" spans="10:11" ht="15" customHeight="1" x14ac:dyDescent="0.25">
      <c r="J108" s="39" t="str">
        <f t="shared" si="2"/>
        <v/>
      </c>
      <c r="K108" s="39" t="str">
        <f t="shared" si="3"/>
        <v/>
      </c>
    </row>
    <row r="109" spans="10:11" ht="15" customHeight="1" x14ac:dyDescent="0.25">
      <c r="J109" s="39" t="str">
        <f t="shared" si="2"/>
        <v/>
      </c>
      <c r="K109" s="39" t="str">
        <f t="shared" si="3"/>
        <v/>
      </c>
    </row>
    <row r="110" spans="10:11" ht="15" customHeight="1" x14ac:dyDescent="0.25">
      <c r="J110" s="39" t="str">
        <f t="shared" si="2"/>
        <v/>
      </c>
      <c r="K110" s="39" t="str">
        <f t="shared" si="3"/>
        <v/>
      </c>
    </row>
    <row r="111" spans="10:11" ht="15" customHeight="1" x14ac:dyDescent="0.25">
      <c r="J111" s="39" t="str">
        <f t="shared" si="2"/>
        <v/>
      </c>
      <c r="K111" s="39" t="str">
        <f t="shared" si="3"/>
        <v/>
      </c>
    </row>
    <row r="112" spans="10:11" ht="15" customHeight="1" x14ac:dyDescent="0.25">
      <c r="J112" s="39" t="str">
        <f t="shared" si="2"/>
        <v/>
      </c>
      <c r="K112" s="39" t="str">
        <f t="shared" si="3"/>
        <v/>
      </c>
    </row>
    <row r="113" spans="10:11" ht="15" customHeight="1" x14ac:dyDescent="0.25">
      <c r="J113" s="39" t="str">
        <f t="shared" si="2"/>
        <v/>
      </c>
      <c r="K113" s="39" t="str">
        <f t="shared" si="3"/>
        <v/>
      </c>
    </row>
    <row r="114" spans="10:11" ht="15" customHeight="1" x14ac:dyDescent="0.25">
      <c r="J114" s="39" t="str">
        <f t="shared" si="2"/>
        <v/>
      </c>
      <c r="K114" s="39" t="str">
        <f t="shared" si="3"/>
        <v/>
      </c>
    </row>
    <row r="115" spans="10:11" ht="15" customHeight="1" x14ac:dyDescent="0.25">
      <c r="J115" s="39" t="str">
        <f t="shared" si="2"/>
        <v/>
      </c>
      <c r="K115" s="39" t="str">
        <f t="shared" si="3"/>
        <v/>
      </c>
    </row>
    <row r="116" spans="10:11" ht="15" customHeight="1" x14ac:dyDescent="0.25">
      <c r="J116" s="39" t="str">
        <f t="shared" si="2"/>
        <v/>
      </c>
      <c r="K116" s="39" t="str">
        <f t="shared" si="3"/>
        <v/>
      </c>
    </row>
    <row r="117" spans="10:11" ht="15" customHeight="1" x14ac:dyDescent="0.25">
      <c r="J117" s="39" t="str">
        <f t="shared" si="2"/>
        <v/>
      </c>
      <c r="K117" s="39" t="str">
        <f t="shared" si="3"/>
        <v/>
      </c>
    </row>
    <row r="118" spans="10:11" ht="15" customHeight="1" x14ac:dyDescent="0.25">
      <c r="J118" s="39" t="str">
        <f t="shared" si="2"/>
        <v/>
      </c>
      <c r="K118" s="39" t="str">
        <f t="shared" si="3"/>
        <v/>
      </c>
    </row>
    <row r="119" spans="10:11" ht="15" customHeight="1" x14ac:dyDescent="0.25">
      <c r="J119" s="39" t="str">
        <f t="shared" si="2"/>
        <v/>
      </c>
      <c r="K119" s="39" t="str">
        <f t="shared" si="3"/>
        <v/>
      </c>
    </row>
    <row r="120" spans="10:11" ht="15" customHeight="1" x14ac:dyDescent="0.25">
      <c r="J120" s="39" t="str">
        <f t="shared" si="2"/>
        <v/>
      </c>
      <c r="K120" s="39" t="str">
        <f t="shared" si="3"/>
        <v/>
      </c>
    </row>
    <row r="121" spans="10:11" ht="15" customHeight="1" x14ac:dyDescent="0.25">
      <c r="J121" s="39" t="str">
        <f t="shared" si="2"/>
        <v/>
      </c>
      <c r="K121" s="39" t="str">
        <f t="shared" si="3"/>
        <v/>
      </c>
    </row>
    <row r="122" spans="10:11" ht="15" customHeight="1" x14ac:dyDescent="0.25">
      <c r="J122" s="39" t="str">
        <f t="shared" si="2"/>
        <v/>
      </c>
      <c r="K122" s="39" t="str">
        <f t="shared" si="3"/>
        <v/>
      </c>
    </row>
    <row r="123" spans="10:11" ht="15" customHeight="1" x14ac:dyDescent="0.25">
      <c r="J123" s="39" t="str">
        <f t="shared" si="2"/>
        <v/>
      </c>
      <c r="K123" s="39" t="str">
        <f t="shared" si="3"/>
        <v/>
      </c>
    </row>
    <row r="124" spans="10:11" ht="15" customHeight="1" x14ac:dyDescent="0.25">
      <c r="J124" s="39" t="str">
        <f t="shared" si="2"/>
        <v/>
      </c>
      <c r="K124" s="39" t="str">
        <f t="shared" si="3"/>
        <v/>
      </c>
    </row>
    <row r="125" spans="10:11" ht="15" customHeight="1" x14ac:dyDescent="0.25">
      <c r="J125" s="39" t="str">
        <f t="shared" si="2"/>
        <v/>
      </c>
      <c r="K125" s="39" t="str">
        <f t="shared" si="3"/>
        <v/>
      </c>
    </row>
    <row r="126" spans="10:11" ht="15" customHeight="1" x14ac:dyDescent="0.25">
      <c r="J126" s="39" t="str">
        <f t="shared" si="2"/>
        <v/>
      </c>
      <c r="K126" s="39" t="str">
        <f t="shared" si="3"/>
        <v/>
      </c>
    </row>
    <row r="127" spans="10:11" ht="15" customHeight="1" x14ac:dyDescent="0.25">
      <c r="J127" s="39" t="str">
        <f t="shared" si="2"/>
        <v/>
      </c>
      <c r="K127" s="39" t="str">
        <f t="shared" si="3"/>
        <v/>
      </c>
    </row>
    <row r="128" spans="10:11" ht="15" customHeight="1" x14ac:dyDescent="0.25">
      <c r="J128" s="39" t="str">
        <f t="shared" si="2"/>
        <v/>
      </c>
      <c r="K128" s="39" t="str">
        <f t="shared" si="3"/>
        <v/>
      </c>
    </row>
    <row r="129" spans="10:11" ht="15" customHeight="1" x14ac:dyDescent="0.25">
      <c r="J129" s="39" t="str">
        <f t="shared" si="2"/>
        <v/>
      </c>
      <c r="K129" s="39" t="str">
        <f t="shared" si="3"/>
        <v/>
      </c>
    </row>
    <row r="130" spans="10:11" ht="15" customHeight="1" x14ac:dyDescent="0.25">
      <c r="J130" s="39" t="str">
        <f t="shared" si="2"/>
        <v/>
      </c>
      <c r="K130" s="39" t="str">
        <f t="shared" si="3"/>
        <v/>
      </c>
    </row>
    <row r="131" spans="10:11" ht="15" customHeight="1" x14ac:dyDescent="0.25">
      <c r="J131" s="39" t="str">
        <f t="shared" si="2"/>
        <v/>
      </c>
      <c r="K131" s="39" t="str">
        <f t="shared" si="3"/>
        <v/>
      </c>
    </row>
    <row r="132" spans="10:11" ht="15" customHeight="1" x14ac:dyDescent="0.25">
      <c r="J132" s="39" t="str">
        <f t="shared" si="2"/>
        <v/>
      </c>
      <c r="K132" s="39" t="str">
        <f t="shared" si="3"/>
        <v/>
      </c>
    </row>
    <row r="133" spans="10:11" ht="15" customHeight="1" x14ac:dyDescent="0.25">
      <c r="J133" s="39" t="str">
        <f t="shared" si="2"/>
        <v/>
      </c>
      <c r="K133" s="39" t="str">
        <f t="shared" si="3"/>
        <v/>
      </c>
    </row>
    <row r="134" spans="10:11" ht="15" customHeight="1" x14ac:dyDescent="0.25">
      <c r="J134" s="39" t="str">
        <f t="shared" ref="J134:J197" si="4">IFERROR(IF(B134="","",IF(ISNUMBER(B134),TEXT(YEAR(B134),"0"),"")),"")</f>
        <v/>
      </c>
      <c r="K134" s="39" t="str">
        <f t="shared" ref="K134:K197" si="5">IFERROR(IF(B134="","",IF(ISNUMBER(B134),MONTH(B134),"")),"")</f>
        <v/>
      </c>
    </row>
    <row r="135" spans="10:11" ht="15" customHeight="1" x14ac:dyDescent="0.25">
      <c r="J135" s="39" t="str">
        <f t="shared" si="4"/>
        <v/>
      </c>
      <c r="K135" s="39" t="str">
        <f t="shared" si="5"/>
        <v/>
      </c>
    </row>
    <row r="136" spans="10:11" ht="15" customHeight="1" x14ac:dyDescent="0.25">
      <c r="J136" s="39" t="str">
        <f t="shared" si="4"/>
        <v/>
      </c>
      <c r="K136" s="39" t="str">
        <f t="shared" si="5"/>
        <v/>
      </c>
    </row>
    <row r="137" spans="10:11" ht="15" customHeight="1" x14ac:dyDescent="0.25">
      <c r="J137" s="39" t="str">
        <f t="shared" si="4"/>
        <v/>
      </c>
      <c r="K137" s="39" t="str">
        <f t="shared" si="5"/>
        <v/>
      </c>
    </row>
    <row r="138" spans="10:11" ht="15" customHeight="1" x14ac:dyDescent="0.25">
      <c r="J138" s="39" t="str">
        <f t="shared" si="4"/>
        <v/>
      </c>
      <c r="K138" s="39" t="str">
        <f t="shared" si="5"/>
        <v/>
      </c>
    </row>
    <row r="139" spans="10:11" ht="15" customHeight="1" x14ac:dyDescent="0.25">
      <c r="J139" s="39" t="str">
        <f t="shared" si="4"/>
        <v/>
      </c>
      <c r="K139" s="39" t="str">
        <f t="shared" si="5"/>
        <v/>
      </c>
    </row>
    <row r="140" spans="10:11" ht="15" customHeight="1" x14ac:dyDescent="0.25">
      <c r="J140" s="39" t="str">
        <f t="shared" si="4"/>
        <v/>
      </c>
      <c r="K140" s="39" t="str">
        <f t="shared" si="5"/>
        <v/>
      </c>
    </row>
    <row r="141" spans="10:11" ht="15" customHeight="1" x14ac:dyDescent="0.25">
      <c r="J141" s="39" t="str">
        <f t="shared" si="4"/>
        <v/>
      </c>
      <c r="K141" s="39" t="str">
        <f t="shared" si="5"/>
        <v/>
      </c>
    </row>
    <row r="142" spans="10:11" ht="15" customHeight="1" x14ac:dyDescent="0.25">
      <c r="J142" s="39" t="str">
        <f t="shared" si="4"/>
        <v/>
      </c>
      <c r="K142" s="39" t="str">
        <f t="shared" si="5"/>
        <v/>
      </c>
    </row>
    <row r="143" spans="10:11" ht="15" customHeight="1" x14ac:dyDescent="0.25">
      <c r="J143" s="39" t="str">
        <f t="shared" si="4"/>
        <v/>
      </c>
      <c r="K143" s="39" t="str">
        <f t="shared" si="5"/>
        <v/>
      </c>
    </row>
    <row r="144" spans="10:11" ht="15" customHeight="1" x14ac:dyDescent="0.25">
      <c r="J144" s="39" t="str">
        <f t="shared" si="4"/>
        <v/>
      </c>
      <c r="K144" s="39" t="str">
        <f t="shared" si="5"/>
        <v/>
      </c>
    </row>
    <row r="145" spans="10:11" ht="15" customHeight="1" x14ac:dyDescent="0.25">
      <c r="J145" s="39" t="str">
        <f t="shared" si="4"/>
        <v/>
      </c>
      <c r="K145" s="39" t="str">
        <f t="shared" si="5"/>
        <v/>
      </c>
    </row>
    <row r="146" spans="10:11" ht="15" customHeight="1" x14ac:dyDescent="0.25">
      <c r="J146" s="39" t="str">
        <f t="shared" si="4"/>
        <v/>
      </c>
      <c r="K146" s="39" t="str">
        <f t="shared" si="5"/>
        <v/>
      </c>
    </row>
    <row r="147" spans="10:11" ht="15" customHeight="1" x14ac:dyDescent="0.25">
      <c r="J147" s="39" t="str">
        <f t="shared" si="4"/>
        <v/>
      </c>
      <c r="K147" s="39" t="str">
        <f t="shared" si="5"/>
        <v/>
      </c>
    </row>
    <row r="148" spans="10:11" ht="15" customHeight="1" x14ac:dyDescent="0.25">
      <c r="J148" s="39" t="str">
        <f t="shared" si="4"/>
        <v/>
      </c>
      <c r="K148" s="39" t="str">
        <f t="shared" si="5"/>
        <v/>
      </c>
    </row>
    <row r="149" spans="10:11" ht="15" customHeight="1" x14ac:dyDescent="0.25">
      <c r="J149" s="39" t="str">
        <f t="shared" si="4"/>
        <v/>
      </c>
      <c r="K149" s="39" t="str">
        <f t="shared" si="5"/>
        <v/>
      </c>
    </row>
    <row r="150" spans="10:11" ht="15" customHeight="1" x14ac:dyDescent="0.25">
      <c r="J150" s="39" t="str">
        <f t="shared" si="4"/>
        <v/>
      </c>
      <c r="K150" s="39" t="str">
        <f t="shared" si="5"/>
        <v/>
      </c>
    </row>
    <row r="151" spans="10:11" ht="15" customHeight="1" x14ac:dyDescent="0.25">
      <c r="J151" s="39" t="str">
        <f t="shared" si="4"/>
        <v/>
      </c>
      <c r="K151" s="39" t="str">
        <f t="shared" si="5"/>
        <v/>
      </c>
    </row>
    <row r="152" spans="10:11" ht="15" customHeight="1" x14ac:dyDescent="0.25">
      <c r="J152" s="39" t="str">
        <f t="shared" si="4"/>
        <v/>
      </c>
      <c r="K152" s="39" t="str">
        <f t="shared" si="5"/>
        <v/>
      </c>
    </row>
    <row r="153" spans="10:11" ht="15" customHeight="1" x14ac:dyDescent="0.25">
      <c r="J153" s="39" t="str">
        <f t="shared" si="4"/>
        <v/>
      </c>
      <c r="K153" s="39" t="str">
        <f t="shared" si="5"/>
        <v/>
      </c>
    </row>
    <row r="154" spans="10:11" ht="15" customHeight="1" x14ac:dyDescent="0.25">
      <c r="J154" s="39" t="str">
        <f t="shared" si="4"/>
        <v/>
      </c>
      <c r="K154" s="39" t="str">
        <f t="shared" si="5"/>
        <v/>
      </c>
    </row>
    <row r="155" spans="10:11" ht="15" customHeight="1" x14ac:dyDescent="0.25">
      <c r="J155" s="39" t="str">
        <f t="shared" si="4"/>
        <v/>
      </c>
      <c r="K155" s="39" t="str">
        <f t="shared" si="5"/>
        <v/>
      </c>
    </row>
    <row r="156" spans="10:11" ht="15" customHeight="1" x14ac:dyDescent="0.25">
      <c r="J156" s="39" t="str">
        <f t="shared" si="4"/>
        <v/>
      </c>
      <c r="K156" s="39" t="str">
        <f t="shared" si="5"/>
        <v/>
      </c>
    </row>
    <row r="157" spans="10:11" ht="15" customHeight="1" x14ac:dyDescent="0.25">
      <c r="J157" s="39" t="str">
        <f t="shared" si="4"/>
        <v/>
      </c>
      <c r="K157" s="39" t="str">
        <f t="shared" si="5"/>
        <v/>
      </c>
    </row>
    <row r="158" spans="10:11" ht="15" customHeight="1" x14ac:dyDescent="0.25">
      <c r="J158" s="39" t="str">
        <f t="shared" si="4"/>
        <v/>
      </c>
      <c r="K158" s="39" t="str">
        <f t="shared" si="5"/>
        <v/>
      </c>
    </row>
    <row r="159" spans="10:11" ht="15" customHeight="1" x14ac:dyDescent="0.25">
      <c r="J159" s="39" t="str">
        <f t="shared" si="4"/>
        <v/>
      </c>
      <c r="K159" s="39" t="str">
        <f t="shared" si="5"/>
        <v/>
      </c>
    </row>
    <row r="160" spans="10:11" ht="15" customHeight="1" x14ac:dyDescent="0.25">
      <c r="J160" s="39" t="str">
        <f t="shared" si="4"/>
        <v/>
      </c>
      <c r="K160" s="39" t="str">
        <f t="shared" si="5"/>
        <v/>
      </c>
    </row>
    <row r="161" spans="10:11" ht="15" customHeight="1" x14ac:dyDescent="0.25">
      <c r="J161" s="39" t="str">
        <f t="shared" si="4"/>
        <v/>
      </c>
      <c r="K161" s="39" t="str">
        <f t="shared" si="5"/>
        <v/>
      </c>
    </row>
    <row r="162" spans="10:11" ht="15" customHeight="1" x14ac:dyDescent="0.25">
      <c r="J162" s="39" t="str">
        <f t="shared" si="4"/>
        <v/>
      </c>
      <c r="K162" s="39" t="str">
        <f t="shared" si="5"/>
        <v/>
      </c>
    </row>
    <row r="163" spans="10:11" ht="15" customHeight="1" x14ac:dyDescent="0.25">
      <c r="J163" s="39" t="str">
        <f t="shared" si="4"/>
        <v/>
      </c>
      <c r="K163" s="39" t="str">
        <f t="shared" si="5"/>
        <v/>
      </c>
    </row>
    <row r="164" spans="10:11" ht="15" customHeight="1" x14ac:dyDescent="0.25">
      <c r="J164" s="39" t="str">
        <f t="shared" si="4"/>
        <v/>
      </c>
      <c r="K164" s="39" t="str">
        <f t="shared" si="5"/>
        <v/>
      </c>
    </row>
    <row r="165" spans="10:11" ht="15" customHeight="1" x14ac:dyDescent="0.25">
      <c r="J165" s="39" t="str">
        <f t="shared" si="4"/>
        <v/>
      </c>
      <c r="K165" s="39" t="str">
        <f t="shared" si="5"/>
        <v/>
      </c>
    </row>
    <row r="166" spans="10:11" ht="15" customHeight="1" x14ac:dyDescent="0.25">
      <c r="J166" s="39" t="str">
        <f t="shared" si="4"/>
        <v/>
      </c>
      <c r="K166" s="39" t="str">
        <f t="shared" si="5"/>
        <v/>
      </c>
    </row>
    <row r="167" spans="10:11" ht="15" customHeight="1" x14ac:dyDescent="0.25">
      <c r="J167" s="39" t="str">
        <f t="shared" si="4"/>
        <v/>
      </c>
      <c r="K167" s="39" t="str">
        <f t="shared" si="5"/>
        <v/>
      </c>
    </row>
    <row r="168" spans="10:11" ht="15" customHeight="1" x14ac:dyDescent="0.25">
      <c r="J168" s="39" t="str">
        <f t="shared" si="4"/>
        <v/>
      </c>
      <c r="K168" s="39" t="str">
        <f t="shared" si="5"/>
        <v/>
      </c>
    </row>
    <row r="169" spans="10:11" ht="15" customHeight="1" x14ac:dyDescent="0.25">
      <c r="J169" s="39" t="str">
        <f t="shared" si="4"/>
        <v/>
      </c>
      <c r="K169" s="39" t="str">
        <f t="shared" si="5"/>
        <v/>
      </c>
    </row>
    <row r="170" spans="10:11" ht="15" customHeight="1" x14ac:dyDescent="0.25">
      <c r="J170" s="39" t="str">
        <f t="shared" si="4"/>
        <v/>
      </c>
      <c r="K170" s="39" t="str">
        <f t="shared" si="5"/>
        <v/>
      </c>
    </row>
    <row r="171" spans="10:11" ht="15" customHeight="1" x14ac:dyDescent="0.25">
      <c r="J171" s="39" t="str">
        <f t="shared" si="4"/>
        <v/>
      </c>
      <c r="K171" s="39" t="str">
        <f t="shared" si="5"/>
        <v/>
      </c>
    </row>
    <row r="172" spans="10:11" ht="15" customHeight="1" x14ac:dyDescent="0.25">
      <c r="J172" s="39" t="str">
        <f t="shared" si="4"/>
        <v/>
      </c>
      <c r="K172" s="39" t="str">
        <f t="shared" si="5"/>
        <v/>
      </c>
    </row>
    <row r="173" spans="10:11" ht="15" customHeight="1" x14ac:dyDescent="0.25">
      <c r="J173" s="39" t="str">
        <f t="shared" si="4"/>
        <v/>
      </c>
      <c r="K173" s="39" t="str">
        <f t="shared" si="5"/>
        <v/>
      </c>
    </row>
    <row r="174" spans="10:11" ht="15" customHeight="1" x14ac:dyDescent="0.25">
      <c r="J174" s="39" t="str">
        <f t="shared" si="4"/>
        <v/>
      </c>
      <c r="K174" s="39" t="str">
        <f t="shared" si="5"/>
        <v/>
      </c>
    </row>
    <row r="175" spans="10:11" ht="15" customHeight="1" x14ac:dyDescent="0.25">
      <c r="J175" s="39" t="str">
        <f t="shared" si="4"/>
        <v/>
      </c>
      <c r="K175" s="39" t="str">
        <f t="shared" si="5"/>
        <v/>
      </c>
    </row>
    <row r="176" spans="10:11" ht="15" customHeight="1" x14ac:dyDescent="0.25">
      <c r="J176" s="39" t="str">
        <f t="shared" si="4"/>
        <v/>
      </c>
      <c r="K176" s="39" t="str">
        <f t="shared" si="5"/>
        <v/>
      </c>
    </row>
    <row r="177" spans="10:11" ht="15" customHeight="1" x14ac:dyDescent="0.25">
      <c r="J177" s="39" t="str">
        <f t="shared" si="4"/>
        <v/>
      </c>
      <c r="K177" s="39" t="str">
        <f t="shared" si="5"/>
        <v/>
      </c>
    </row>
    <row r="178" spans="10:11" ht="15" customHeight="1" x14ac:dyDescent="0.25">
      <c r="J178" s="39" t="str">
        <f t="shared" si="4"/>
        <v/>
      </c>
      <c r="K178" s="39" t="str">
        <f t="shared" si="5"/>
        <v/>
      </c>
    </row>
    <row r="179" spans="10:11" ht="15" customHeight="1" x14ac:dyDescent="0.25">
      <c r="J179" s="39" t="str">
        <f t="shared" si="4"/>
        <v/>
      </c>
      <c r="K179" s="39" t="str">
        <f t="shared" si="5"/>
        <v/>
      </c>
    </row>
    <row r="180" spans="10:11" ht="15" customHeight="1" x14ac:dyDescent="0.25">
      <c r="J180" s="39" t="str">
        <f t="shared" si="4"/>
        <v/>
      </c>
      <c r="K180" s="39" t="str">
        <f t="shared" si="5"/>
        <v/>
      </c>
    </row>
    <row r="181" spans="10:11" ht="15" customHeight="1" x14ac:dyDescent="0.25">
      <c r="J181" s="39" t="str">
        <f t="shared" si="4"/>
        <v/>
      </c>
      <c r="K181" s="39" t="str">
        <f t="shared" si="5"/>
        <v/>
      </c>
    </row>
    <row r="182" spans="10:11" ht="15" customHeight="1" x14ac:dyDescent="0.25">
      <c r="J182" s="39" t="str">
        <f t="shared" si="4"/>
        <v/>
      </c>
      <c r="K182" s="39" t="str">
        <f t="shared" si="5"/>
        <v/>
      </c>
    </row>
    <row r="183" spans="10:11" ht="15" customHeight="1" x14ac:dyDescent="0.25">
      <c r="J183" s="39" t="str">
        <f t="shared" si="4"/>
        <v/>
      </c>
      <c r="K183" s="39" t="str">
        <f t="shared" si="5"/>
        <v/>
      </c>
    </row>
    <row r="184" spans="10:11" ht="15" customHeight="1" x14ac:dyDescent="0.25">
      <c r="J184" s="39" t="str">
        <f t="shared" si="4"/>
        <v/>
      </c>
      <c r="K184" s="39" t="str">
        <f t="shared" si="5"/>
        <v/>
      </c>
    </row>
    <row r="185" spans="10:11" ht="15" customHeight="1" x14ac:dyDescent="0.25">
      <c r="J185" s="39" t="str">
        <f t="shared" si="4"/>
        <v/>
      </c>
      <c r="K185" s="39" t="str">
        <f t="shared" si="5"/>
        <v/>
      </c>
    </row>
    <row r="186" spans="10:11" ht="15" customHeight="1" x14ac:dyDescent="0.25">
      <c r="J186" s="39" t="str">
        <f t="shared" si="4"/>
        <v/>
      </c>
      <c r="K186" s="39" t="str">
        <f t="shared" si="5"/>
        <v/>
      </c>
    </row>
    <row r="187" spans="10:11" ht="15" customHeight="1" x14ac:dyDescent="0.25">
      <c r="J187" s="39" t="str">
        <f t="shared" si="4"/>
        <v/>
      </c>
      <c r="K187" s="39" t="str">
        <f t="shared" si="5"/>
        <v/>
      </c>
    </row>
    <row r="188" spans="10:11" ht="15" customHeight="1" x14ac:dyDescent="0.25">
      <c r="J188" s="39" t="str">
        <f t="shared" si="4"/>
        <v/>
      </c>
      <c r="K188" s="39" t="str">
        <f t="shared" si="5"/>
        <v/>
      </c>
    </row>
    <row r="189" spans="10:11" ht="15" customHeight="1" x14ac:dyDescent="0.25">
      <c r="J189" s="39" t="str">
        <f t="shared" si="4"/>
        <v/>
      </c>
      <c r="K189" s="39" t="str">
        <f t="shared" si="5"/>
        <v/>
      </c>
    </row>
    <row r="190" spans="10:11" ht="15" customHeight="1" x14ac:dyDescent="0.25">
      <c r="J190" s="39" t="str">
        <f t="shared" si="4"/>
        <v/>
      </c>
      <c r="K190" s="39" t="str">
        <f t="shared" si="5"/>
        <v/>
      </c>
    </row>
    <row r="191" spans="10:11" ht="15" customHeight="1" x14ac:dyDescent="0.25">
      <c r="J191" s="39" t="str">
        <f t="shared" si="4"/>
        <v/>
      </c>
      <c r="K191" s="39" t="str">
        <f t="shared" si="5"/>
        <v/>
      </c>
    </row>
    <row r="192" spans="10:11" ht="15" customHeight="1" x14ac:dyDescent="0.25">
      <c r="J192" s="39" t="str">
        <f t="shared" si="4"/>
        <v/>
      </c>
      <c r="K192" s="39" t="str">
        <f t="shared" si="5"/>
        <v/>
      </c>
    </row>
    <row r="193" spans="10:11" ht="15" customHeight="1" x14ac:dyDescent="0.25">
      <c r="J193" s="39" t="str">
        <f t="shared" si="4"/>
        <v/>
      </c>
      <c r="K193" s="39" t="str">
        <f t="shared" si="5"/>
        <v/>
      </c>
    </row>
    <row r="194" spans="10:11" ht="15" customHeight="1" x14ac:dyDescent="0.25">
      <c r="J194" s="39" t="str">
        <f t="shared" si="4"/>
        <v/>
      </c>
      <c r="K194" s="39" t="str">
        <f t="shared" si="5"/>
        <v/>
      </c>
    </row>
    <row r="195" spans="10:11" ht="15" customHeight="1" x14ac:dyDescent="0.25">
      <c r="J195" s="39" t="str">
        <f t="shared" si="4"/>
        <v/>
      </c>
      <c r="K195" s="39" t="str">
        <f t="shared" si="5"/>
        <v/>
      </c>
    </row>
    <row r="196" spans="10:11" ht="15" customHeight="1" x14ac:dyDescent="0.25">
      <c r="J196" s="39" t="str">
        <f t="shared" si="4"/>
        <v/>
      </c>
      <c r="K196" s="39" t="str">
        <f t="shared" si="5"/>
        <v/>
      </c>
    </row>
    <row r="197" spans="10:11" ht="15" customHeight="1" x14ac:dyDescent="0.25">
      <c r="J197" s="39" t="str">
        <f t="shared" si="4"/>
        <v/>
      </c>
      <c r="K197" s="39" t="str">
        <f t="shared" si="5"/>
        <v/>
      </c>
    </row>
    <row r="198" spans="10:11" ht="15" customHeight="1" x14ac:dyDescent="0.25">
      <c r="J198" s="39" t="str">
        <f t="shared" ref="J198:J261" si="6">IFERROR(IF(B198="","",IF(ISNUMBER(B198),TEXT(YEAR(B198),"0"),"")),"")</f>
        <v/>
      </c>
      <c r="K198" s="39" t="str">
        <f t="shared" ref="K198:K261" si="7">IFERROR(IF(B198="","",IF(ISNUMBER(B198),MONTH(B198),"")),"")</f>
        <v/>
      </c>
    </row>
    <row r="199" spans="10:11" ht="15" customHeight="1" x14ac:dyDescent="0.25">
      <c r="J199" s="39" t="str">
        <f t="shared" si="6"/>
        <v/>
      </c>
      <c r="K199" s="39" t="str">
        <f t="shared" si="7"/>
        <v/>
      </c>
    </row>
    <row r="200" spans="10:11" ht="15" customHeight="1" x14ac:dyDescent="0.25">
      <c r="J200" s="39" t="str">
        <f t="shared" si="6"/>
        <v/>
      </c>
      <c r="K200" s="39" t="str">
        <f t="shared" si="7"/>
        <v/>
      </c>
    </row>
    <row r="201" spans="10:11" ht="15" customHeight="1" x14ac:dyDescent="0.25">
      <c r="J201" s="39" t="str">
        <f t="shared" si="6"/>
        <v/>
      </c>
      <c r="K201" s="39" t="str">
        <f t="shared" si="7"/>
        <v/>
      </c>
    </row>
    <row r="202" spans="10:11" ht="15" customHeight="1" x14ac:dyDescent="0.25">
      <c r="J202" s="39" t="str">
        <f t="shared" si="6"/>
        <v/>
      </c>
      <c r="K202" s="39" t="str">
        <f t="shared" si="7"/>
        <v/>
      </c>
    </row>
    <row r="203" spans="10:11" ht="15" customHeight="1" x14ac:dyDescent="0.25">
      <c r="J203" s="39" t="str">
        <f t="shared" si="6"/>
        <v/>
      </c>
      <c r="K203" s="39" t="str">
        <f t="shared" si="7"/>
        <v/>
      </c>
    </row>
    <row r="204" spans="10:11" ht="15" customHeight="1" x14ac:dyDescent="0.25">
      <c r="J204" s="39" t="str">
        <f t="shared" si="6"/>
        <v/>
      </c>
      <c r="K204" s="39" t="str">
        <f t="shared" si="7"/>
        <v/>
      </c>
    </row>
    <row r="205" spans="10:11" ht="15" customHeight="1" x14ac:dyDescent="0.25">
      <c r="J205" s="39" t="str">
        <f t="shared" si="6"/>
        <v/>
      </c>
      <c r="K205" s="39" t="str">
        <f t="shared" si="7"/>
        <v/>
      </c>
    </row>
    <row r="206" spans="10:11" ht="15" customHeight="1" x14ac:dyDescent="0.25">
      <c r="J206" s="39" t="str">
        <f t="shared" si="6"/>
        <v/>
      </c>
      <c r="K206" s="39" t="str">
        <f t="shared" si="7"/>
        <v/>
      </c>
    </row>
    <row r="207" spans="10:11" ht="15" customHeight="1" x14ac:dyDescent="0.25">
      <c r="J207" s="39" t="str">
        <f t="shared" si="6"/>
        <v/>
      </c>
      <c r="K207" s="39" t="str">
        <f t="shared" si="7"/>
        <v/>
      </c>
    </row>
    <row r="208" spans="10:11" ht="15" customHeight="1" x14ac:dyDescent="0.25">
      <c r="J208" s="39" t="str">
        <f t="shared" si="6"/>
        <v/>
      </c>
      <c r="K208" s="39" t="str">
        <f t="shared" si="7"/>
        <v/>
      </c>
    </row>
    <row r="209" spans="10:11" ht="15" customHeight="1" x14ac:dyDescent="0.25">
      <c r="J209" s="39" t="str">
        <f t="shared" si="6"/>
        <v/>
      </c>
      <c r="K209" s="39" t="str">
        <f t="shared" si="7"/>
        <v/>
      </c>
    </row>
    <row r="210" spans="10:11" ht="15" customHeight="1" x14ac:dyDescent="0.25">
      <c r="J210" s="39" t="str">
        <f t="shared" si="6"/>
        <v/>
      </c>
      <c r="K210" s="39" t="str">
        <f t="shared" si="7"/>
        <v/>
      </c>
    </row>
    <row r="211" spans="10:11" ht="15" customHeight="1" x14ac:dyDescent="0.25">
      <c r="J211" s="39" t="str">
        <f t="shared" si="6"/>
        <v/>
      </c>
      <c r="K211" s="39" t="str">
        <f t="shared" si="7"/>
        <v/>
      </c>
    </row>
    <row r="212" spans="10:11" ht="15" customHeight="1" x14ac:dyDescent="0.25">
      <c r="J212" s="39" t="str">
        <f t="shared" si="6"/>
        <v/>
      </c>
      <c r="K212" s="39" t="str">
        <f t="shared" si="7"/>
        <v/>
      </c>
    </row>
    <row r="213" spans="10:11" ht="15" customHeight="1" x14ac:dyDescent="0.25">
      <c r="J213" s="39" t="str">
        <f t="shared" si="6"/>
        <v/>
      </c>
      <c r="K213" s="39" t="str">
        <f t="shared" si="7"/>
        <v/>
      </c>
    </row>
    <row r="214" spans="10:11" ht="15" customHeight="1" x14ac:dyDescent="0.25">
      <c r="J214" s="39" t="str">
        <f t="shared" si="6"/>
        <v/>
      </c>
      <c r="K214" s="39" t="str">
        <f t="shared" si="7"/>
        <v/>
      </c>
    </row>
    <row r="215" spans="10:11" ht="15" customHeight="1" x14ac:dyDescent="0.25">
      <c r="J215" s="39" t="str">
        <f t="shared" si="6"/>
        <v/>
      </c>
      <c r="K215" s="39" t="str">
        <f t="shared" si="7"/>
        <v/>
      </c>
    </row>
    <row r="216" spans="10:11" ht="15" customHeight="1" x14ac:dyDescent="0.25">
      <c r="J216" s="39" t="str">
        <f t="shared" si="6"/>
        <v/>
      </c>
      <c r="K216" s="39" t="str">
        <f t="shared" si="7"/>
        <v/>
      </c>
    </row>
    <row r="217" spans="10:11" ht="15" customHeight="1" x14ac:dyDescent="0.25">
      <c r="J217" s="39" t="str">
        <f t="shared" si="6"/>
        <v/>
      </c>
      <c r="K217" s="39" t="str">
        <f t="shared" si="7"/>
        <v/>
      </c>
    </row>
    <row r="218" spans="10:11" ht="15" customHeight="1" x14ac:dyDescent="0.25">
      <c r="J218" s="39" t="str">
        <f t="shared" si="6"/>
        <v/>
      </c>
      <c r="K218" s="39" t="str">
        <f t="shared" si="7"/>
        <v/>
      </c>
    </row>
    <row r="219" spans="10:11" ht="15" customHeight="1" x14ac:dyDescent="0.25">
      <c r="J219" s="39" t="str">
        <f t="shared" si="6"/>
        <v/>
      </c>
      <c r="K219" s="39" t="str">
        <f t="shared" si="7"/>
        <v/>
      </c>
    </row>
    <row r="220" spans="10:11" ht="15" customHeight="1" x14ac:dyDescent="0.25">
      <c r="J220" s="39" t="str">
        <f t="shared" si="6"/>
        <v/>
      </c>
      <c r="K220" s="39" t="str">
        <f t="shared" si="7"/>
        <v/>
      </c>
    </row>
    <row r="221" spans="10:11" ht="15" customHeight="1" x14ac:dyDescent="0.25">
      <c r="J221" s="39" t="str">
        <f t="shared" si="6"/>
        <v/>
      </c>
      <c r="K221" s="39" t="str">
        <f t="shared" si="7"/>
        <v/>
      </c>
    </row>
    <row r="222" spans="10:11" ht="15" customHeight="1" x14ac:dyDescent="0.25">
      <c r="J222" s="39" t="str">
        <f t="shared" si="6"/>
        <v/>
      </c>
      <c r="K222" s="39" t="str">
        <f t="shared" si="7"/>
        <v/>
      </c>
    </row>
    <row r="223" spans="10:11" ht="15" customHeight="1" x14ac:dyDescent="0.25">
      <c r="J223" s="39" t="str">
        <f t="shared" si="6"/>
        <v/>
      </c>
      <c r="K223" s="39" t="str">
        <f t="shared" si="7"/>
        <v/>
      </c>
    </row>
    <row r="224" spans="10:11" ht="15" customHeight="1" x14ac:dyDescent="0.25">
      <c r="J224" s="39" t="str">
        <f t="shared" si="6"/>
        <v/>
      </c>
      <c r="K224" s="39" t="str">
        <f t="shared" si="7"/>
        <v/>
      </c>
    </row>
    <row r="225" spans="10:11" ht="15" customHeight="1" x14ac:dyDescent="0.25">
      <c r="J225" s="39" t="str">
        <f t="shared" si="6"/>
        <v/>
      </c>
      <c r="K225" s="39" t="str">
        <f t="shared" si="7"/>
        <v/>
      </c>
    </row>
    <row r="226" spans="10:11" ht="15" customHeight="1" x14ac:dyDescent="0.25">
      <c r="J226" s="39" t="str">
        <f t="shared" si="6"/>
        <v/>
      </c>
      <c r="K226" s="39" t="str">
        <f t="shared" si="7"/>
        <v/>
      </c>
    </row>
    <row r="227" spans="10:11" ht="15" customHeight="1" x14ac:dyDescent="0.25">
      <c r="J227" s="39" t="str">
        <f t="shared" si="6"/>
        <v/>
      </c>
      <c r="K227" s="39" t="str">
        <f t="shared" si="7"/>
        <v/>
      </c>
    </row>
    <row r="228" spans="10:11" ht="15" customHeight="1" x14ac:dyDescent="0.25">
      <c r="J228" s="39" t="str">
        <f t="shared" si="6"/>
        <v/>
      </c>
      <c r="K228" s="39" t="str">
        <f t="shared" si="7"/>
        <v/>
      </c>
    </row>
    <row r="229" spans="10:11" ht="15" customHeight="1" x14ac:dyDescent="0.25">
      <c r="J229" s="39" t="str">
        <f t="shared" si="6"/>
        <v/>
      </c>
      <c r="K229" s="39" t="str">
        <f t="shared" si="7"/>
        <v/>
      </c>
    </row>
    <row r="230" spans="10:11" ht="15" customHeight="1" x14ac:dyDescent="0.25">
      <c r="J230" s="39" t="str">
        <f t="shared" si="6"/>
        <v/>
      </c>
      <c r="K230" s="39" t="str">
        <f t="shared" si="7"/>
        <v/>
      </c>
    </row>
    <row r="231" spans="10:11" ht="15" customHeight="1" x14ac:dyDescent="0.25">
      <c r="J231" s="39" t="str">
        <f t="shared" si="6"/>
        <v/>
      </c>
      <c r="K231" s="39" t="str">
        <f t="shared" si="7"/>
        <v/>
      </c>
    </row>
    <row r="232" spans="10:11" ht="15" customHeight="1" x14ac:dyDescent="0.25">
      <c r="J232" s="39" t="str">
        <f t="shared" si="6"/>
        <v/>
      </c>
      <c r="K232" s="39" t="str">
        <f t="shared" si="7"/>
        <v/>
      </c>
    </row>
    <row r="233" spans="10:11" ht="15" customHeight="1" x14ac:dyDescent="0.25">
      <c r="J233" s="39" t="str">
        <f t="shared" si="6"/>
        <v/>
      </c>
      <c r="K233" s="39" t="str">
        <f t="shared" si="7"/>
        <v/>
      </c>
    </row>
    <row r="234" spans="10:11" ht="15" customHeight="1" x14ac:dyDescent="0.25">
      <c r="J234" s="39" t="str">
        <f t="shared" si="6"/>
        <v/>
      </c>
      <c r="K234" s="39" t="str">
        <f t="shared" si="7"/>
        <v/>
      </c>
    </row>
    <row r="235" spans="10:11" ht="15" customHeight="1" x14ac:dyDescent="0.25">
      <c r="J235" s="39" t="str">
        <f t="shared" si="6"/>
        <v/>
      </c>
      <c r="K235" s="39" t="str">
        <f t="shared" si="7"/>
        <v/>
      </c>
    </row>
    <row r="236" spans="10:11" ht="15" customHeight="1" x14ac:dyDescent="0.25">
      <c r="J236" s="39" t="str">
        <f t="shared" si="6"/>
        <v/>
      </c>
      <c r="K236" s="39" t="str">
        <f t="shared" si="7"/>
        <v/>
      </c>
    </row>
    <row r="237" spans="10:11" ht="15" customHeight="1" x14ac:dyDescent="0.25">
      <c r="J237" s="39" t="str">
        <f t="shared" si="6"/>
        <v/>
      </c>
      <c r="K237" s="39" t="str">
        <f t="shared" si="7"/>
        <v/>
      </c>
    </row>
    <row r="238" spans="10:11" ht="15" customHeight="1" x14ac:dyDescent="0.25">
      <c r="J238" s="39" t="str">
        <f t="shared" si="6"/>
        <v/>
      </c>
      <c r="K238" s="39" t="str">
        <f t="shared" si="7"/>
        <v/>
      </c>
    </row>
    <row r="239" spans="10:11" ht="15" customHeight="1" x14ac:dyDescent="0.25">
      <c r="J239" s="39" t="str">
        <f t="shared" si="6"/>
        <v/>
      </c>
      <c r="K239" s="39" t="str">
        <f t="shared" si="7"/>
        <v/>
      </c>
    </row>
    <row r="240" spans="10:11" ht="15" customHeight="1" x14ac:dyDescent="0.25">
      <c r="J240" s="39" t="str">
        <f t="shared" si="6"/>
        <v/>
      </c>
      <c r="K240" s="39" t="str">
        <f t="shared" si="7"/>
        <v/>
      </c>
    </row>
    <row r="241" spans="10:11" ht="15" customHeight="1" x14ac:dyDescent="0.25">
      <c r="J241" s="39" t="str">
        <f t="shared" si="6"/>
        <v/>
      </c>
      <c r="K241" s="39" t="str">
        <f t="shared" si="7"/>
        <v/>
      </c>
    </row>
    <row r="242" spans="10:11" ht="15" customHeight="1" x14ac:dyDescent="0.25">
      <c r="J242" s="39" t="str">
        <f t="shared" si="6"/>
        <v/>
      </c>
      <c r="K242" s="39" t="str">
        <f t="shared" si="7"/>
        <v/>
      </c>
    </row>
    <row r="243" spans="10:11" ht="15" customHeight="1" x14ac:dyDescent="0.25">
      <c r="J243" s="39" t="str">
        <f t="shared" si="6"/>
        <v/>
      </c>
      <c r="K243" s="39" t="str">
        <f t="shared" si="7"/>
        <v/>
      </c>
    </row>
    <row r="244" spans="10:11" ht="15" customHeight="1" x14ac:dyDescent="0.25">
      <c r="J244" s="39" t="str">
        <f t="shared" si="6"/>
        <v/>
      </c>
      <c r="K244" s="39" t="str">
        <f t="shared" si="7"/>
        <v/>
      </c>
    </row>
    <row r="245" spans="10:11" ht="15" customHeight="1" x14ac:dyDescent="0.25">
      <c r="J245" s="39" t="str">
        <f t="shared" si="6"/>
        <v/>
      </c>
      <c r="K245" s="39" t="str">
        <f t="shared" si="7"/>
        <v/>
      </c>
    </row>
    <row r="246" spans="10:11" ht="15" customHeight="1" x14ac:dyDescent="0.25">
      <c r="J246" s="39" t="str">
        <f t="shared" si="6"/>
        <v/>
      </c>
      <c r="K246" s="39" t="str">
        <f t="shared" si="7"/>
        <v/>
      </c>
    </row>
    <row r="247" spans="10:11" ht="15" customHeight="1" x14ac:dyDescent="0.25">
      <c r="J247" s="39" t="str">
        <f t="shared" si="6"/>
        <v/>
      </c>
      <c r="K247" s="39" t="str">
        <f t="shared" si="7"/>
        <v/>
      </c>
    </row>
    <row r="248" spans="10:11" ht="15" customHeight="1" x14ac:dyDescent="0.25">
      <c r="J248" s="39" t="str">
        <f t="shared" si="6"/>
        <v/>
      </c>
      <c r="K248" s="39" t="str">
        <f t="shared" si="7"/>
        <v/>
      </c>
    </row>
    <row r="249" spans="10:11" ht="15" customHeight="1" x14ac:dyDescent="0.25">
      <c r="J249" s="39" t="str">
        <f t="shared" si="6"/>
        <v/>
      </c>
      <c r="K249" s="39" t="str">
        <f t="shared" si="7"/>
        <v/>
      </c>
    </row>
    <row r="250" spans="10:11" ht="15" customHeight="1" x14ac:dyDescent="0.25">
      <c r="J250" s="39" t="str">
        <f t="shared" si="6"/>
        <v/>
      </c>
      <c r="K250" s="39" t="str">
        <f t="shared" si="7"/>
        <v/>
      </c>
    </row>
    <row r="251" spans="10:11" ht="15" customHeight="1" x14ac:dyDescent="0.25">
      <c r="J251" s="39" t="str">
        <f t="shared" si="6"/>
        <v/>
      </c>
      <c r="K251" s="39" t="str">
        <f t="shared" si="7"/>
        <v/>
      </c>
    </row>
    <row r="252" spans="10:11" ht="15" customHeight="1" x14ac:dyDescent="0.25">
      <c r="J252" s="39" t="str">
        <f t="shared" si="6"/>
        <v/>
      </c>
      <c r="K252" s="39" t="str">
        <f t="shared" si="7"/>
        <v/>
      </c>
    </row>
    <row r="253" spans="10:11" ht="15" customHeight="1" x14ac:dyDescent="0.25">
      <c r="J253" s="39" t="str">
        <f t="shared" si="6"/>
        <v/>
      </c>
      <c r="K253" s="39" t="str">
        <f t="shared" si="7"/>
        <v/>
      </c>
    </row>
    <row r="254" spans="10:11" ht="15" customHeight="1" x14ac:dyDescent="0.25">
      <c r="J254" s="39" t="str">
        <f t="shared" si="6"/>
        <v/>
      </c>
      <c r="K254" s="39" t="str">
        <f t="shared" si="7"/>
        <v/>
      </c>
    </row>
    <row r="255" spans="10:11" ht="15" customHeight="1" x14ac:dyDescent="0.25">
      <c r="J255" s="39" t="str">
        <f t="shared" si="6"/>
        <v/>
      </c>
      <c r="K255" s="39" t="str">
        <f t="shared" si="7"/>
        <v/>
      </c>
    </row>
    <row r="256" spans="10:11" ht="15" customHeight="1" x14ac:dyDescent="0.25">
      <c r="J256" s="39" t="str">
        <f t="shared" si="6"/>
        <v/>
      </c>
      <c r="K256" s="39" t="str">
        <f t="shared" si="7"/>
        <v/>
      </c>
    </row>
    <row r="257" spans="10:11" ht="15" customHeight="1" x14ac:dyDescent="0.25">
      <c r="J257" s="39" t="str">
        <f t="shared" si="6"/>
        <v/>
      </c>
      <c r="K257" s="39" t="str">
        <f t="shared" si="7"/>
        <v/>
      </c>
    </row>
    <row r="258" spans="10:11" ht="15" customHeight="1" x14ac:dyDescent="0.25">
      <c r="J258" s="39" t="str">
        <f t="shared" si="6"/>
        <v/>
      </c>
      <c r="K258" s="39" t="str">
        <f t="shared" si="7"/>
        <v/>
      </c>
    </row>
    <row r="259" spans="10:11" ht="15" customHeight="1" x14ac:dyDescent="0.25">
      <c r="J259" s="39" t="str">
        <f t="shared" si="6"/>
        <v/>
      </c>
      <c r="K259" s="39" t="str">
        <f t="shared" si="7"/>
        <v/>
      </c>
    </row>
    <row r="260" spans="10:11" ht="15" customHeight="1" x14ac:dyDescent="0.25">
      <c r="J260" s="39" t="str">
        <f t="shared" si="6"/>
        <v/>
      </c>
      <c r="K260" s="39" t="str">
        <f t="shared" si="7"/>
        <v/>
      </c>
    </row>
    <row r="261" spans="10:11" ht="15" customHeight="1" x14ac:dyDescent="0.25">
      <c r="J261" s="39" t="str">
        <f t="shared" si="6"/>
        <v/>
      </c>
      <c r="K261" s="39" t="str">
        <f t="shared" si="7"/>
        <v/>
      </c>
    </row>
    <row r="262" spans="10:11" ht="15" customHeight="1" x14ac:dyDescent="0.25">
      <c r="J262" s="39" t="str">
        <f t="shared" ref="J262:J325" si="8">IFERROR(IF(B262="","",IF(ISNUMBER(B262),TEXT(YEAR(B262),"0"),"")),"")</f>
        <v/>
      </c>
      <c r="K262" s="39" t="str">
        <f t="shared" ref="K262:K325" si="9">IFERROR(IF(B262="","",IF(ISNUMBER(B262),MONTH(B262),"")),"")</f>
        <v/>
      </c>
    </row>
    <row r="263" spans="10:11" ht="15" customHeight="1" x14ac:dyDescent="0.25">
      <c r="J263" s="39" t="str">
        <f t="shared" si="8"/>
        <v/>
      </c>
      <c r="K263" s="39" t="str">
        <f t="shared" si="9"/>
        <v/>
      </c>
    </row>
    <row r="264" spans="10:11" ht="15" customHeight="1" x14ac:dyDescent="0.25">
      <c r="J264" s="39" t="str">
        <f t="shared" si="8"/>
        <v/>
      </c>
      <c r="K264" s="39" t="str">
        <f t="shared" si="9"/>
        <v/>
      </c>
    </row>
    <row r="265" spans="10:11" ht="15" customHeight="1" x14ac:dyDescent="0.25">
      <c r="J265" s="39" t="str">
        <f t="shared" si="8"/>
        <v/>
      </c>
      <c r="K265" s="39" t="str">
        <f t="shared" si="9"/>
        <v/>
      </c>
    </row>
    <row r="266" spans="10:11" ht="15" customHeight="1" x14ac:dyDescent="0.25">
      <c r="J266" s="39" t="str">
        <f t="shared" si="8"/>
        <v/>
      </c>
      <c r="K266" s="39" t="str">
        <f t="shared" si="9"/>
        <v/>
      </c>
    </row>
    <row r="267" spans="10:11" ht="15" customHeight="1" x14ac:dyDescent="0.25">
      <c r="J267" s="39" t="str">
        <f t="shared" si="8"/>
        <v/>
      </c>
      <c r="K267" s="39" t="str">
        <f t="shared" si="9"/>
        <v/>
      </c>
    </row>
    <row r="268" spans="10:11" ht="15" customHeight="1" x14ac:dyDescent="0.25">
      <c r="J268" s="39" t="str">
        <f t="shared" si="8"/>
        <v/>
      </c>
      <c r="K268" s="39" t="str">
        <f t="shared" si="9"/>
        <v/>
      </c>
    </row>
    <row r="269" spans="10:11" ht="15" customHeight="1" x14ac:dyDescent="0.25">
      <c r="J269" s="39" t="str">
        <f t="shared" si="8"/>
        <v/>
      </c>
      <c r="K269" s="39" t="str">
        <f t="shared" si="9"/>
        <v/>
      </c>
    </row>
    <row r="270" spans="10:11" ht="15" customHeight="1" x14ac:dyDescent="0.25">
      <c r="J270" s="39" t="str">
        <f t="shared" si="8"/>
        <v/>
      </c>
      <c r="K270" s="39" t="str">
        <f t="shared" si="9"/>
        <v/>
      </c>
    </row>
    <row r="271" spans="10:11" ht="15" customHeight="1" x14ac:dyDescent="0.25">
      <c r="J271" s="39" t="str">
        <f t="shared" si="8"/>
        <v/>
      </c>
      <c r="K271" s="39" t="str">
        <f t="shared" si="9"/>
        <v/>
      </c>
    </row>
    <row r="272" spans="10:11" ht="15" customHeight="1" x14ac:dyDescent="0.25">
      <c r="J272" s="39" t="str">
        <f t="shared" si="8"/>
        <v/>
      </c>
      <c r="K272" s="39" t="str">
        <f t="shared" si="9"/>
        <v/>
      </c>
    </row>
    <row r="273" spans="10:11" ht="15" customHeight="1" x14ac:dyDescent="0.25">
      <c r="J273" s="39" t="str">
        <f t="shared" si="8"/>
        <v/>
      </c>
      <c r="K273" s="39" t="str">
        <f t="shared" si="9"/>
        <v/>
      </c>
    </row>
    <row r="274" spans="10:11" ht="15" customHeight="1" x14ac:dyDescent="0.25">
      <c r="J274" s="39" t="str">
        <f t="shared" si="8"/>
        <v/>
      </c>
      <c r="K274" s="39" t="str">
        <f t="shared" si="9"/>
        <v/>
      </c>
    </row>
    <row r="275" spans="10:11" ht="15" customHeight="1" x14ac:dyDescent="0.25">
      <c r="J275" s="39" t="str">
        <f t="shared" si="8"/>
        <v/>
      </c>
      <c r="K275" s="39" t="str">
        <f t="shared" si="9"/>
        <v/>
      </c>
    </row>
    <row r="276" spans="10:11" ht="15" customHeight="1" x14ac:dyDescent="0.25">
      <c r="J276" s="39" t="str">
        <f t="shared" si="8"/>
        <v/>
      </c>
      <c r="K276" s="39" t="str">
        <f t="shared" si="9"/>
        <v/>
      </c>
    </row>
    <row r="277" spans="10:11" ht="15" customHeight="1" x14ac:dyDescent="0.25">
      <c r="J277" s="39" t="str">
        <f t="shared" si="8"/>
        <v/>
      </c>
      <c r="K277" s="39" t="str">
        <f t="shared" si="9"/>
        <v/>
      </c>
    </row>
    <row r="278" spans="10:11" ht="15" customHeight="1" x14ac:dyDescent="0.25">
      <c r="J278" s="39" t="str">
        <f t="shared" si="8"/>
        <v/>
      </c>
      <c r="K278" s="39" t="str">
        <f t="shared" si="9"/>
        <v/>
      </c>
    </row>
    <row r="279" spans="10:11" ht="15" customHeight="1" x14ac:dyDescent="0.25">
      <c r="J279" s="39" t="str">
        <f t="shared" si="8"/>
        <v/>
      </c>
      <c r="K279" s="39" t="str">
        <f t="shared" si="9"/>
        <v/>
      </c>
    </row>
    <row r="280" spans="10:11" ht="15" customHeight="1" x14ac:dyDescent="0.25">
      <c r="J280" s="39" t="str">
        <f t="shared" si="8"/>
        <v/>
      </c>
      <c r="K280" s="39" t="str">
        <f t="shared" si="9"/>
        <v/>
      </c>
    </row>
    <row r="281" spans="10:11" ht="15" customHeight="1" x14ac:dyDescent="0.25">
      <c r="J281" s="39" t="str">
        <f t="shared" si="8"/>
        <v/>
      </c>
      <c r="K281" s="39" t="str">
        <f t="shared" si="9"/>
        <v/>
      </c>
    </row>
    <row r="282" spans="10:11" ht="15" customHeight="1" x14ac:dyDescent="0.25">
      <c r="J282" s="39" t="str">
        <f t="shared" si="8"/>
        <v/>
      </c>
      <c r="K282" s="39" t="str">
        <f t="shared" si="9"/>
        <v/>
      </c>
    </row>
    <row r="283" spans="10:11" ht="15" customHeight="1" x14ac:dyDescent="0.25">
      <c r="J283" s="39" t="str">
        <f t="shared" si="8"/>
        <v/>
      </c>
      <c r="K283" s="39" t="str">
        <f t="shared" si="9"/>
        <v/>
      </c>
    </row>
    <row r="284" spans="10:11" ht="15" customHeight="1" x14ac:dyDescent="0.25">
      <c r="J284" s="39" t="str">
        <f t="shared" si="8"/>
        <v/>
      </c>
      <c r="K284" s="39" t="str">
        <f t="shared" si="9"/>
        <v/>
      </c>
    </row>
    <row r="285" spans="10:11" ht="15" customHeight="1" x14ac:dyDescent="0.25">
      <c r="J285" s="39" t="str">
        <f t="shared" si="8"/>
        <v/>
      </c>
      <c r="K285" s="39" t="str">
        <f t="shared" si="9"/>
        <v/>
      </c>
    </row>
    <row r="286" spans="10:11" ht="15" customHeight="1" x14ac:dyDescent="0.25">
      <c r="J286" s="39" t="str">
        <f t="shared" si="8"/>
        <v/>
      </c>
      <c r="K286" s="39" t="str">
        <f t="shared" si="9"/>
        <v/>
      </c>
    </row>
    <row r="287" spans="10:11" ht="15" customHeight="1" x14ac:dyDescent="0.25">
      <c r="J287" s="39" t="str">
        <f t="shared" si="8"/>
        <v/>
      </c>
      <c r="K287" s="39" t="str">
        <f t="shared" si="9"/>
        <v/>
      </c>
    </row>
    <row r="288" spans="10:11" ht="15" customHeight="1" x14ac:dyDescent="0.25">
      <c r="J288" s="39" t="str">
        <f t="shared" si="8"/>
        <v/>
      </c>
      <c r="K288" s="39" t="str">
        <f t="shared" si="9"/>
        <v/>
      </c>
    </row>
    <row r="289" spans="10:11" ht="15" customHeight="1" x14ac:dyDescent="0.25">
      <c r="J289" s="39" t="str">
        <f t="shared" si="8"/>
        <v/>
      </c>
      <c r="K289" s="39" t="str">
        <f t="shared" si="9"/>
        <v/>
      </c>
    </row>
    <row r="290" spans="10:11" ht="15" customHeight="1" x14ac:dyDescent="0.25">
      <c r="J290" s="39" t="str">
        <f t="shared" si="8"/>
        <v/>
      </c>
      <c r="K290" s="39" t="str">
        <f t="shared" si="9"/>
        <v/>
      </c>
    </row>
    <row r="291" spans="10:11" ht="15" customHeight="1" x14ac:dyDescent="0.25">
      <c r="J291" s="39" t="str">
        <f t="shared" si="8"/>
        <v/>
      </c>
      <c r="K291" s="39" t="str">
        <f t="shared" si="9"/>
        <v/>
      </c>
    </row>
    <row r="292" spans="10:11" ht="15" customHeight="1" x14ac:dyDescent="0.25">
      <c r="J292" s="39" t="str">
        <f t="shared" si="8"/>
        <v/>
      </c>
      <c r="K292" s="39" t="str">
        <f t="shared" si="9"/>
        <v/>
      </c>
    </row>
    <row r="293" spans="10:11" ht="15" customHeight="1" x14ac:dyDescent="0.25">
      <c r="J293" s="39" t="str">
        <f t="shared" si="8"/>
        <v/>
      </c>
      <c r="K293" s="39" t="str">
        <f t="shared" si="9"/>
        <v/>
      </c>
    </row>
    <row r="294" spans="10:11" ht="15" customHeight="1" x14ac:dyDescent="0.25">
      <c r="J294" s="39" t="str">
        <f t="shared" si="8"/>
        <v/>
      </c>
      <c r="K294" s="39" t="str">
        <f t="shared" si="9"/>
        <v/>
      </c>
    </row>
    <row r="295" spans="10:11" ht="15" customHeight="1" x14ac:dyDescent="0.25">
      <c r="J295" s="39" t="str">
        <f t="shared" si="8"/>
        <v/>
      </c>
      <c r="K295" s="39" t="str">
        <f t="shared" si="9"/>
        <v/>
      </c>
    </row>
    <row r="296" spans="10:11" ht="15" customHeight="1" x14ac:dyDescent="0.25">
      <c r="J296" s="39" t="str">
        <f t="shared" si="8"/>
        <v/>
      </c>
      <c r="K296" s="39" t="str">
        <f t="shared" si="9"/>
        <v/>
      </c>
    </row>
    <row r="297" spans="10:11" ht="15" customHeight="1" x14ac:dyDescent="0.25">
      <c r="J297" s="39" t="str">
        <f t="shared" si="8"/>
        <v/>
      </c>
      <c r="K297" s="39" t="str">
        <f t="shared" si="9"/>
        <v/>
      </c>
    </row>
    <row r="298" spans="10:11" ht="15" customHeight="1" x14ac:dyDescent="0.25">
      <c r="J298" s="39" t="str">
        <f t="shared" si="8"/>
        <v/>
      </c>
      <c r="K298" s="39" t="str">
        <f t="shared" si="9"/>
        <v/>
      </c>
    </row>
    <row r="299" spans="10:11" ht="15" customHeight="1" x14ac:dyDescent="0.25">
      <c r="J299" s="39" t="str">
        <f t="shared" si="8"/>
        <v/>
      </c>
      <c r="K299" s="39" t="str">
        <f t="shared" si="9"/>
        <v/>
      </c>
    </row>
    <row r="300" spans="10:11" ht="15" customHeight="1" x14ac:dyDescent="0.25">
      <c r="J300" s="39" t="str">
        <f t="shared" si="8"/>
        <v/>
      </c>
      <c r="K300" s="39" t="str">
        <f t="shared" si="9"/>
        <v/>
      </c>
    </row>
    <row r="301" spans="10:11" ht="15" customHeight="1" x14ac:dyDescent="0.25">
      <c r="J301" s="39" t="str">
        <f t="shared" si="8"/>
        <v/>
      </c>
      <c r="K301" s="39" t="str">
        <f t="shared" si="9"/>
        <v/>
      </c>
    </row>
    <row r="302" spans="10:11" ht="15" customHeight="1" x14ac:dyDescent="0.25">
      <c r="J302" s="39" t="str">
        <f t="shared" si="8"/>
        <v/>
      </c>
      <c r="K302" s="39" t="str">
        <f t="shared" si="9"/>
        <v/>
      </c>
    </row>
    <row r="303" spans="10:11" ht="15" customHeight="1" x14ac:dyDescent="0.25">
      <c r="J303" s="39" t="str">
        <f t="shared" si="8"/>
        <v/>
      </c>
      <c r="K303" s="39" t="str">
        <f t="shared" si="9"/>
        <v/>
      </c>
    </row>
    <row r="304" spans="10:11" ht="15" customHeight="1" x14ac:dyDescent="0.25">
      <c r="J304" s="39" t="str">
        <f t="shared" si="8"/>
        <v/>
      </c>
      <c r="K304" s="39" t="str">
        <f t="shared" si="9"/>
        <v/>
      </c>
    </row>
    <row r="305" spans="10:11" ht="15" customHeight="1" x14ac:dyDescent="0.25">
      <c r="J305" s="39" t="str">
        <f t="shared" si="8"/>
        <v/>
      </c>
      <c r="K305" s="39" t="str">
        <f t="shared" si="9"/>
        <v/>
      </c>
    </row>
    <row r="306" spans="10:11" ht="15" customHeight="1" x14ac:dyDescent="0.25">
      <c r="J306" s="39" t="str">
        <f t="shared" si="8"/>
        <v/>
      </c>
      <c r="K306" s="39" t="str">
        <f t="shared" si="9"/>
        <v/>
      </c>
    </row>
    <row r="307" spans="10:11" ht="15" customHeight="1" x14ac:dyDescent="0.25">
      <c r="J307" s="39" t="str">
        <f t="shared" si="8"/>
        <v/>
      </c>
      <c r="K307" s="39" t="str">
        <f t="shared" si="9"/>
        <v/>
      </c>
    </row>
    <row r="308" spans="10:11" ht="15" customHeight="1" x14ac:dyDescent="0.25">
      <c r="J308" s="39" t="str">
        <f t="shared" si="8"/>
        <v/>
      </c>
      <c r="K308" s="39" t="str">
        <f t="shared" si="9"/>
        <v/>
      </c>
    </row>
    <row r="309" spans="10:11" ht="15" customHeight="1" x14ac:dyDescent="0.25">
      <c r="J309" s="39" t="str">
        <f t="shared" si="8"/>
        <v/>
      </c>
      <c r="K309" s="39" t="str">
        <f t="shared" si="9"/>
        <v/>
      </c>
    </row>
    <row r="310" spans="10:11" ht="15" customHeight="1" x14ac:dyDescent="0.25">
      <c r="J310" s="39" t="str">
        <f t="shared" si="8"/>
        <v/>
      </c>
      <c r="K310" s="39" t="str">
        <f t="shared" si="9"/>
        <v/>
      </c>
    </row>
    <row r="311" spans="10:11" ht="15" customHeight="1" x14ac:dyDescent="0.25">
      <c r="J311" s="39" t="str">
        <f t="shared" si="8"/>
        <v/>
      </c>
      <c r="K311" s="39" t="str">
        <f t="shared" si="9"/>
        <v/>
      </c>
    </row>
    <row r="312" spans="10:11" ht="15" customHeight="1" x14ac:dyDescent="0.25">
      <c r="J312" s="39" t="str">
        <f t="shared" si="8"/>
        <v/>
      </c>
      <c r="K312" s="39" t="str">
        <f t="shared" si="9"/>
        <v/>
      </c>
    </row>
    <row r="313" spans="10:11" ht="15" customHeight="1" x14ac:dyDescent="0.25">
      <c r="J313" s="39" t="str">
        <f t="shared" si="8"/>
        <v/>
      </c>
      <c r="K313" s="39" t="str">
        <f t="shared" si="9"/>
        <v/>
      </c>
    </row>
    <row r="314" spans="10:11" ht="15" customHeight="1" x14ac:dyDescent="0.25">
      <c r="J314" s="39" t="str">
        <f t="shared" si="8"/>
        <v/>
      </c>
      <c r="K314" s="39" t="str">
        <f t="shared" si="9"/>
        <v/>
      </c>
    </row>
    <row r="315" spans="10:11" ht="15" customHeight="1" x14ac:dyDescent="0.25">
      <c r="J315" s="39" t="str">
        <f t="shared" si="8"/>
        <v/>
      </c>
      <c r="K315" s="39" t="str">
        <f t="shared" si="9"/>
        <v/>
      </c>
    </row>
    <row r="316" spans="10:11" ht="15" customHeight="1" x14ac:dyDescent="0.25">
      <c r="J316" s="39" t="str">
        <f t="shared" si="8"/>
        <v/>
      </c>
      <c r="K316" s="39" t="str">
        <f t="shared" si="9"/>
        <v/>
      </c>
    </row>
    <row r="317" spans="10:11" ht="15" customHeight="1" x14ac:dyDescent="0.25">
      <c r="J317" s="39" t="str">
        <f t="shared" si="8"/>
        <v/>
      </c>
      <c r="K317" s="39" t="str">
        <f t="shared" si="9"/>
        <v/>
      </c>
    </row>
    <row r="318" spans="10:11" ht="15" customHeight="1" x14ac:dyDescent="0.25">
      <c r="J318" s="39" t="str">
        <f t="shared" si="8"/>
        <v/>
      </c>
      <c r="K318" s="39" t="str">
        <f t="shared" si="9"/>
        <v/>
      </c>
    </row>
    <row r="319" spans="10:11" ht="15" customHeight="1" x14ac:dyDescent="0.25">
      <c r="J319" s="39" t="str">
        <f t="shared" si="8"/>
        <v/>
      </c>
      <c r="K319" s="39" t="str">
        <f t="shared" si="9"/>
        <v/>
      </c>
    </row>
    <row r="320" spans="10:11" ht="15" customHeight="1" x14ac:dyDescent="0.25">
      <c r="J320" s="39" t="str">
        <f t="shared" si="8"/>
        <v/>
      </c>
      <c r="K320" s="39" t="str">
        <f t="shared" si="9"/>
        <v/>
      </c>
    </row>
    <row r="321" spans="10:11" ht="15" customHeight="1" x14ac:dyDescent="0.25">
      <c r="J321" s="39" t="str">
        <f t="shared" si="8"/>
        <v/>
      </c>
      <c r="K321" s="39" t="str">
        <f t="shared" si="9"/>
        <v/>
      </c>
    </row>
    <row r="322" spans="10:11" ht="15" customHeight="1" x14ac:dyDescent="0.25">
      <c r="J322" s="39" t="str">
        <f t="shared" si="8"/>
        <v/>
      </c>
      <c r="K322" s="39" t="str">
        <f t="shared" si="9"/>
        <v/>
      </c>
    </row>
    <row r="323" spans="10:11" ht="15" customHeight="1" x14ac:dyDescent="0.25">
      <c r="J323" s="39" t="str">
        <f t="shared" si="8"/>
        <v/>
      </c>
      <c r="K323" s="39" t="str">
        <f t="shared" si="9"/>
        <v/>
      </c>
    </row>
    <row r="324" spans="10:11" ht="15" customHeight="1" x14ac:dyDescent="0.25">
      <c r="J324" s="39" t="str">
        <f t="shared" si="8"/>
        <v/>
      </c>
      <c r="K324" s="39" t="str">
        <f t="shared" si="9"/>
        <v/>
      </c>
    </row>
    <row r="325" spans="10:11" ht="15" customHeight="1" x14ac:dyDescent="0.25">
      <c r="J325" s="39" t="str">
        <f t="shared" si="8"/>
        <v/>
      </c>
      <c r="K325" s="39" t="str">
        <f t="shared" si="9"/>
        <v/>
      </c>
    </row>
    <row r="326" spans="10:11" ht="15" customHeight="1" x14ac:dyDescent="0.25">
      <c r="J326" s="39" t="str">
        <f t="shared" ref="J326:J389" si="10">IFERROR(IF(B326="","",IF(ISNUMBER(B326),TEXT(YEAR(B326),"0"),"")),"")</f>
        <v/>
      </c>
      <c r="K326" s="39" t="str">
        <f t="shared" ref="K326:K389" si="11">IFERROR(IF(B326="","",IF(ISNUMBER(B326),MONTH(B326),"")),"")</f>
        <v/>
      </c>
    </row>
    <row r="327" spans="10:11" ht="15" customHeight="1" x14ac:dyDescent="0.25">
      <c r="J327" s="39" t="str">
        <f t="shared" si="10"/>
        <v/>
      </c>
      <c r="K327" s="39" t="str">
        <f t="shared" si="11"/>
        <v/>
      </c>
    </row>
    <row r="328" spans="10:11" ht="15" customHeight="1" x14ac:dyDescent="0.25">
      <c r="J328" s="39" t="str">
        <f t="shared" si="10"/>
        <v/>
      </c>
      <c r="K328" s="39" t="str">
        <f t="shared" si="11"/>
        <v/>
      </c>
    </row>
    <row r="329" spans="10:11" ht="15" customHeight="1" x14ac:dyDescent="0.25">
      <c r="J329" s="39" t="str">
        <f t="shared" si="10"/>
        <v/>
      </c>
      <c r="K329" s="39" t="str">
        <f t="shared" si="11"/>
        <v/>
      </c>
    </row>
    <row r="330" spans="10:11" ht="15" customHeight="1" x14ac:dyDescent="0.25">
      <c r="J330" s="39" t="str">
        <f t="shared" si="10"/>
        <v/>
      </c>
      <c r="K330" s="39" t="str">
        <f t="shared" si="11"/>
        <v/>
      </c>
    </row>
    <row r="331" spans="10:11" ht="15" customHeight="1" x14ac:dyDescent="0.25">
      <c r="J331" s="39" t="str">
        <f t="shared" si="10"/>
        <v/>
      </c>
      <c r="K331" s="39" t="str">
        <f t="shared" si="11"/>
        <v/>
      </c>
    </row>
    <row r="332" spans="10:11" ht="15" customHeight="1" x14ac:dyDescent="0.25">
      <c r="J332" s="39" t="str">
        <f t="shared" si="10"/>
        <v/>
      </c>
      <c r="K332" s="39" t="str">
        <f t="shared" si="11"/>
        <v/>
      </c>
    </row>
    <row r="333" spans="10:11" ht="15" customHeight="1" x14ac:dyDescent="0.25">
      <c r="J333" s="39" t="str">
        <f t="shared" si="10"/>
        <v/>
      </c>
      <c r="K333" s="39" t="str">
        <f t="shared" si="11"/>
        <v/>
      </c>
    </row>
    <row r="334" spans="10:11" ht="15" customHeight="1" x14ac:dyDescent="0.25">
      <c r="J334" s="39" t="str">
        <f t="shared" si="10"/>
        <v/>
      </c>
      <c r="K334" s="39" t="str">
        <f t="shared" si="11"/>
        <v/>
      </c>
    </row>
    <row r="335" spans="10:11" ht="15" customHeight="1" x14ac:dyDescent="0.25">
      <c r="J335" s="39" t="str">
        <f t="shared" si="10"/>
        <v/>
      </c>
      <c r="K335" s="39" t="str">
        <f t="shared" si="11"/>
        <v/>
      </c>
    </row>
    <row r="336" spans="10:11" ht="15" customHeight="1" x14ac:dyDescent="0.25">
      <c r="J336" s="39" t="str">
        <f t="shared" si="10"/>
        <v/>
      </c>
      <c r="K336" s="39" t="str">
        <f t="shared" si="11"/>
        <v/>
      </c>
    </row>
    <row r="337" spans="10:11" ht="15" customHeight="1" x14ac:dyDescent="0.25">
      <c r="J337" s="39" t="str">
        <f t="shared" si="10"/>
        <v/>
      </c>
      <c r="K337" s="39" t="str">
        <f t="shared" si="11"/>
        <v/>
      </c>
    </row>
    <row r="338" spans="10:11" ht="15" customHeight="1" x14ac:dyDescent="0.25">
      <c r="J338" s="39" t="str">
        <f t="shared" si="10"/>
        <v/>
      </c>
      <c r="K338" s="39" t="str">
        <f t="shared" si="11"/>
        <v/>
      </c>
    </row>
    <row r="339" spans="10:11" ht="15" customHeight="1" x14ac:dyDescent="0.25">
      <c r="J339" s="39" t="str">
        <f t="shared" si="10"/>
        <v/>
      </c>
      <c r="K339" s="39" t="str">
        <f t="shared" si="11"/>
        <v/>
      </c>
    </row>
    <row r="340" spans="10:11" ht="15" customHeight="1" x14ac:dyDescent="0.25">
      <c r="J340" s="39" t="str">
        <f t="shared" si="10"/>
        <v/>
      </c>
      <c r="K340" s="39" t="str">
        <f t="shared" si="11"/>
        <v/>
      </c>
    </row>
    <row r="341" spans="10:11" ht="15" customHeight="1" x14ac:dyDescent="0.25">
      <c r="J341" s="39" t="str">
        <f t="shared" si="10"/>
        <v/>
      </c>
      <c r="K341" s="39" t="str">
        <f t="shared" si="11"/>
        <v/>
      </c>
    </row>
    <row r="342" spans="10:11" ht="15" customHeight="1" x14ac:dyDescent="0.25">
      <c r="J342" s="39" t="str">
        <f t="shared" si="10"/>
        <v/>
      </c>
      <c r="K342" s="39" t="str">
        <f t="shared" si="11"/>
        <v/>
      </c>
    </row>
    <row r="343" spans="10:11" ht="15" customHeight="1" x14ac:dyDescent="0.25">
      <c r="J343" s="39" t="str">
        <f t="shared" si="10"/>
        <v/>
      </c>
      <c r="K343" s="39" t="str">
        <f t="shared" si="11"/>
        <v/>
      </c>
    </row>
    <row r="344" spans="10:11" ht="15" customHeight="1" x14ac:dyDescent="0.25">
      <c r="J344" s="39" t="str">
        <f t="shared" si="10"/>
        <v/>
      </c>
      <c r="K344" s="39" t="str">
        <f t="shared" si="11"/>
        <v/>
      </c>
    </row>
    <row r="345" spans="10:11" ht="15" customHeight="1" x14ac:dyDescent="0.25">
      <c r="J345" s="39" t="str">
        <f t="shared" si="10"/>
        <v/>
      </c>
      <c r="K345" s="39" t="str">
        <f t="shared" si="11"/>
        <v/>
      </c>
    </row>
    <row r="346" spans="10:11" ht="15" customHeight="1" x14ac:dyDescent="0.25">
      <c r="J346" s="39" t="str">
        <f t="shared" si="10"/>
        <v/>
      </c>
      <c r="K346" s="39" t="str">
        <f t="shared" si="11"/>
        <v/>
      </c>
    </row>
    <row r="347" spans="10:11" ht="15" customHeight="1" x14ac:dyDescent="0.25">
      <c r="J347" s="39" t="str">
        <f t="shared" si="10"/>
        <v/>
      </c>
      <c r="K347" s="39" t="str">
        <f t="shared" si="11"/>
        <v/>
      </c>
    </row>
    <row r="348" spans="10:11" ht="15" customHeight="1" x14ac:dyDescent="0.25">
      <c r="J348" s="39" t="str">
        <f t="shared" si="10"/>
        <v/>
      </c>
      <c r="K348" s="39" t="str">
        <f t="shared" si="11"/>
        <v/>
      </c>
    </row>
    <row r="349" spans="10:11" ht="15" customHeight="1" x14ac:dyDescent="0.25">
      <c r="J349" s="39" t="str">
        <f t="shared" si="10"/>
        <v/>
      </c>
      <c r="K349" s="39" t="str">
        <f t="shared" si="11"/>
        <v/>
      </c>
    </row>
    <row r="350" spans="10:11" ht="15" customHeight="1" x14ac:dyDescent="0.25">
      <c r="J350" s="39" t="str">
        <f t="shared" si="10"/>
        <v/>
      </c>
      <c r="K350" s="39" t="str">
        <f t="shared" si="11"/>
        <v/>
      </c>
    </row>
    <row r="351" spans="10:11" ht="15" customHeight="1" x14ac:dyDescent="0.25">
      <c r="J351" s="39" t="str">
        <f t="shared" si="10"/>
        <v/>
      </c>
      <c r="K351" s="39" t="str">
        <f t="shared" si="11"/>
        <v/>
      </c>
    </row>
    <row r="352" spans="10:11" ht="15" customHeight="1" x14ac:dyDescent="0.25">
      <c r="J352" s="39" t="str">
        <f t="shared" si="10"/>
        <v/>
      </c>
      <c r="K352" s="39" t="str">
        <f t="shared" si="11"/>
        <v/>
      </c>
    </row>
    <row r="353" spans="10:11" ht="15" customHeight="1" x14ac:dyDescent="0.25">
      <c r="J353" s="39" t="str">
        <f t="shared" si="10"/>
        <v/>
      </c>
      <c r="K353" s="39" t="str">
        <f t="shared" si="11"/>
        <v/>
      </c>
    </row>
    <row r="354" spans="10:11" ht="15" customHeight="1" x14ac:dyDescent="0.25">
      <c r="J354" s="39" t="str">
        <f t="shared" si="10"/>
        <v/>
      </c>
      <c r="K354" s="39" t="str">
        <f t="shared" si="11"/>
        <v/>
      </c>
    </row>
    <row r="355" spans="10:11" ht="15" customHeight="1" x14ac:dyDescent="0.25">
      <c r="J355" s="39" t="str">
        <f t="shared" si="10"/>
        <v/>
      </c>
      <c r="K355" s="39" t="str">
        <f t="shared" si="11"/>
        <v/>
      </c>
    </row>
    <row r="356" spans="10:11" ht="15" customHeight="1" x14ac:dyDescent="0.25">
      <c r="J356" s="39" t="str">
        <f t="shared" si="10"/>
        <v/>
      </c>
      <c r="K356" s="39" t="str">
        <f t="shared" si="11"/>
        <v/>
      </c>
    </row>
    <row r="357" spans="10:11" ht="15" customHeight="1" x14ac:dyDescent="0.25">
      <c r="J357" s="39" t="str">
        <f t="shared" si="10"/>
        <v/>
      </c>
      <c r="K357" s="39" t="str">
        <f t="shared" si="11"/>
        <v/>
      </c>
    </row>
    <row r="358" spans="10:11" ht="15" customHeight="1" x14ac:dyDescent="0.25">
      <c r="J358" s="39" t="str">
        <f t="shared" si="10"/>
        <v/>
      </c>
      <c r="K358" s="39" t="str">
        <f t="shared" si="11"/>
        <v/>
      </c>
    </row>
    <row r="359" spans="10:11" ht="15" customHeight="1" x14ac:dyDescent="0.25">
      <c r="J359" s="39" t="str">
        <f t="shared" si="10"/>
        <v/>
      </c>
      <c r="K359" s="39" t="str">
        <f t="shared" si="11"/>
        <v/>
      </c>
    </row>
    <row r="360" spans="10:11" ht="15" customHeight="1" x14ac:dyDescent="0.25">
      <c r="J360" s="39" t="str">
        <f t="shared" si="10"/>
        <v/>
      </c>
      <c r="K360" s="39" t="str">
        <f t="shared" si="11"/>
        <v/>
      </c>
    </row>
    <row r="361" spans="10:11" ht="15" customHeight="1" x14ac:dyDescent="0.25">
      <c r="J361" s="39" t="str">
        <f t="shared" si="10"/>
        <v/>
      </c>
      <c r="K361" s="39" t="str">
        <f t="shared" si="11"/>
        <v/>
      </c>
    </row>
    <row r="362" spans="10:11" ht="15" customHeight="1" x14ac:dyDescent="0.25">
      <c r="J362" s="39" t="str">
        <f t="shared" si="10"/>
        <v/>
      </c>
      <c r="K362" s="39" t="str">
        <f t="shared" si="11"/>
        <v/>
      </c>
    </row>
    <row r="363" spans="10:11" ht="15" customHeight="1" x14ac:dyDescent="0.25">
      <c r="J363" s="39" t="str">
        <f t="shared" si="10"/>
        <v/>
      </c>
      <c r="K363" s="39" t="str">
        <f t="shared" si="11"/>
        <v/>
      </c>
    </row>
    <row r="364" spans="10:11" ht="15" customHeight="1" x14ac:dyDescent="0.25">
      <c r="J364" s="39" t="str">
        <f t="shared" si="10"/>
        <v/>
      </c>
      <c r="K364" s="39" t="str">
        <f t="shared" si="11"/>
        <v/>
      </c>
    </row>
    <row r="365" spans="10:11" ht="15" customHeight="1" x14ac:dyDescent="0.25">
      <c r="J365" s="39" t="str">
        <f t="shared" si="10"/>
        <v/>
      </c>
      <c r="K365" s="39" t="str">
        <f t="shared" si="11"/>
        <v/>
      </c>
    </row>
    <row r="366" spans="10:11" ht="15" customHeight="1" x14ac:dyDescent="0.25">
      <c r="J366" s="39" t="str">
        <f t="shared" si="10"/>
        <v/>
      </c>
      <c r="K366" s="39" t="str">
        <f t="shared" si="11"/>
        <v/>
      </c>
    </row>
    <row r="367" spans="10:11" ht="15" customHeight="1" x14ac:dyDescent="0.25">
      <c r="J367" s="39" t="str">
        <f t="shared" si="10"/>
        <v/>
      </c>
      <c r="K367" s="39" t="str">
        <f t="shared" si="11"/>
        <v/>
      </c>
    </row>
    <row r="368" spans="10:11" ht="15" customHeight="1" x14ac:dyDescent="0.25">
      <c r="J368" s="39" t="str">
        <f t="shared" si="10"/>
        <v/>
      </c>
      <c r="K368" s="39" t="str">
        <f t="shared" si="11"/>
        <v/>
      </c>
    </row>
    <row r="369" spans="10:11" ht="15" customHeight="1" x14ac:dyDescent="0.25">
      <c r="J369" s="39" t="str">
        <f t="shared" si="10"/>
        <v/>
      </c>
      <c r="K369" s="39" t="str">
        <f t="shared" si="11"/>
        <v/>
      </c>
    </row>
    <row r="370" spans="10:11" ht="15" customHeight="1" x14ac:dyDescent="0.25">
      <c r="J370" s="39" t="str">
        <f t="shared" si="10"/>
        <v/>
      </c>
      <c r="K370" s="39" t="str">
        <f t="shared" si="11"/>
        <v/>
      </c>
    </row>
    <row r="371" spans="10:11" ht="15" customHeight="1" x14ac:dyDescent="0.25">
      <c r="J371" s="39" t="str">
        <f t="shared" si="10"/>
        <v/>
      </c>
      <c r="K371" s="39" t="str">
        <f t="shared" si="11"/>
        <v/>
      </c>
    </row>
    <row r="372" spans="10:11" ht="15" customHeight="1" x14ac:dyDescent="0.25">
      <c r="J372" s="39" t="str">
        <f t="shared" si="10"/>
        <v/>
      </c>
      <c r="K372" s="39" t="str">
        <f t="shared" si="11"/>
        <v/>
      </c>
    </row>
    <row r="373" spans="10:11" ht="15" customHeight="1" x14ac:dyDescent="0.25">
      <c r="J373" s="39" t="str">
        <f t="shared" si="10"/>
        <v/>
      </c>
      <c r="K373" s="39" t="str">
        <f t="shared" si="11"/>
        <v/>
      </c>
    </row>
    <row r="374" spans="10:11" ht="15" customHeight="1" x14ac:dyDescent="0.25">
      <c r="J374" s="39" t="str">
        <f t="shared" si="10"/>
        <v/>
      </c>
      <c r="K374" s="39" t="str">
        <f t="shared" si="11"/>
        <v/>
      </c>
    </row>
    <row r="375" spans="10:11" ht="15" customHeight="1" x14ac:dyDescent="0.25">
      <c r="J375" s="39" t="str">
        <f t="shared" si="10"/>
        <v/>
      </c>
      <c r="K375" s="39" t="str">
        <f t="shared" si="11"/>
        <v/>
      </c>
    </row>
    <row r="376" spans="10:11" ht="15" customHeight="1" x14ac:dyDescent="0.25">
      <c r="J376" s="39" t="str">
        <f t="shared" si="10"/>
        <v/>
      </c>
      <c r="K376" s="39" t="str">
        <f t="shared" si="11"/>
        <v/>
      </c>
    </row>
    <row r="377" spans="10:11" ht="15" customHeight="1" x14ac:dyDescent="0.25">
      <c r="J377" s="39" t="str">
        <f t="shared" si="10"/>
        <v/>
      </c>
      <c r="K377" s="39" t="str">
        <f t="shared" si="11"/>
        <v/>
      </c>
    </row>
    <row r="378" spans="10:11" ht="15" customHeight="1" x14ac:dyDescent="0.25">
      <c r="J378" s="39" t="str">
        <f t="shared" si="10"/>
        <v/>
      </c>
      <c r="K378" s="39" t="str">
        <f t="shared" si="11"/>
        <v/>
      </c>
    </row>
    <row r="379" spans="10:11" ht="15" customHeight="1" x14ac:dyDescent="0.25">
      <c r="J379" s="39" t="str">
        <f t="shared" si="10"/>
        <v/>
      </c>
      <c r="K379" s="39" t="str">
        <f t="shared" si="11"/>
        <v/>
      </c>
    </row>
    <row r="380" spans="10:11" ht="15" customHeight="1" x14ac:dyDescent="0.25">
      <c r="J380" s="39" t="str">
        <f t="shared" si="10"/>
        <v/>
      </c>
      <c r="K380" s="39" t="str">
        <f t="shared" si="11"/>
        <v/>
      </c>
    </row>
    <row r="381" spans="10:11" ht="15" customHeight="1" x14ac:dyDescent="0.25">
      <c r="J381" s="39" t="str">
        <f t="shared" si="10"/>
        <v/>
      </c>
      <c r="K381" s="39" t="str">
        <f t="shared" si="11"/>
        <v/>
      </c>
    </row>
    <row r="382" spans="10:11" ht="15" customHeight="1" x14ac:dyDescent="0.25">
      <c r="J382" s="39" t="str">
        <f t="shared" si="10"/>
        <v/>
      </c>
      <c r="K382" s="39" t="str">
        <f t="shared" si="11"/>
        <v/>
      </c>
    </row>
    <row r="383" spans="10:11" ht="15" customHeight="1" x14ac:dyDescent="0.25">
      <c r="J383" s="39" t="str">
        <f t="shared" si="10"/>
        <v/>
      </c>
      <c r="K383" s="39" t="str">
        <f t="shared" si="11"/>
        <v/>
      </c>
    </row>
    <row r="384" spans="10:11" ht="15" customHeight="1" x14ac:dyDescent="0.25">
      <c r="J384" s="39" t="str">
        <f t="shared" si="10"/>
        <v/>
      </c>
      <c r="K384" s="39" t="str">
        <f t="shared" si="11"/>
        <v/>
      </c>
    </row>
    <row r="385" spans="10:11" ht="15" customHeight="1" x14ac:dyDescent="0.25">
      <c r="J385" s="39" t="str">
        <f t="shared" si="10"/>
        <v/>
      </c>
      <c r="K385" s="39" t="str">
        <f t="shared" si="11"/>
        <v/>
      </c>
    </row>
    <row r="386" spans="10:11" ht="15" customHeight="1" x14ac:dyDescent="0.25">
      <c r="J386" s="39" t="str">
        <f t="shared" si="10"/>
        <v/>
      </c>
      <c r="K386" s="39" t="str">
        <f t="shared" si="11"/>
        <v/>
      </c>
    </row>
    <row r="387" spans="10:11" ht="15" customHeight="1" x14ac:dyDescent="0.25">
      <c r="J387" s="39" t="str">
        <f t="shared" si="10"/>
        <v/>
      </c>
      <c r="K387" s="39" t="str">
        <f t="shared" si="11"/>
        <v/>
      </c>
    </row>
    <row r="388" spans="10:11" ht="15" customHeight="1" x14ac:dyDescent="0.25">
      <c r="J388" s="39" t="str">
        <f t="shared" si="10"/>
        <v/>
      </c>
      <c r="K388" s="39" t="str">
        <f t="shared" si="11"/>
        <v/>
      </c>
    </row>
    <row r="389" spans="10:11" ht="15" customHeight="1" x14ac:dyDescent="0.25">
      <c r="J389" s="39" t="str">
        <f t="shared" si="10"/>
        <v/>
      </c>
      <c r="K389" s="39" t="str">
        <f t="shared" si="11"/>
        <v/>
      </c>
    </row>
    <row r="390" spans="10:11" ht="15" customHeight="1" x14ac:dyDescent="0.25">
      <c r="J390" s="39" t="str">
        <f t="shared" ref="J390:J453" si="12">IFERROR(IF(B390="","",IF(ISNUMBER(B390),TEXT(YEAR(B390),"0"),"")),"")</f>
        <v/>
      </c>
      <c r="K390" s="39" t="str">
        <f t="shared" ref="K390:K453" si="13">IFERROR(IF(B390="","",IF(ISNUMBER(B390),MONTH(B390),"")),"")</f>
        <v/>
      </c>
    </row>
    <row r="391" spans="10:11" ht="15" customHeight="1" x14ac:dyDescent="0.25">
      <c r="J391" s="39" t="str">
        <f t="shared" si="12"/>
        <v/>
      </c>
      <c r="K391" s="39" t="str">
        <f t="shared" si="13"/>
        <v/>
      </c>
    </row>
    <row r="392" spans="10:11" ht="15" customHeight="1" x14ac:dyDescent="0.25">
      <c r="J392" s="39" t="str">
        <f t="shared" si="12"/>
        <v/>
      </c>
      <c r="K392" s="39" t="str">
        <f t="shared" si="13"/>
        <v/>
      </c>
    </row>
    <row r="393" spans="10:11" ht="15" customHeight="1" x14ac:dyDescent="0.25">
      <c r="J393" s="39" t="str">
        <f t="shared" si="12"/>
        <v/>
      </c>
      <c r="K393" s="39" t="str">
        <f t="shared" si="13"/>
        <v/>
      </c>
    </row>
    <row r="394" spans="10:11" ht="15" customHeight="1" x14ac:dyDescent="0.25">
      <c r="J394" s="39" t="str">
        <f t="shared" si="12"/>
        <v/>
      </c>
      <c r="K394" s="39" t="str">
        <f t="shared" si="13"/>
        <v/>
      </c>
    </row>
    <row r="395" spans="10:11" ht="15" customHeight="1" x14ac:dyDescent="0.25">
      <c r="J395" s="39" t="str">
        <f t="shared" si="12"/>
        <v/>
      </c>
      <c r="K395" s="39" t="str">
        <f t="shared" si="13"/>
        <v/>
      </c>
    </row>
    <row r="396" spans="10:11" ht="15" customHeight="1" x14ac:dyDescent="0.25">
      <c r="J396" s="39" t="str">
        <f t="shared" si="12"/>
        <v/>
      </c>
      <c r="K396" s="39" t="str">
        <f t="shared" si="13"/>
        <v/>
      </c>
    </row>
    <row r="397" spans="10:11" ht="15" customHeight="1" x14ac:dyDescent="0.25">
      <c r="J397" s="39" t="str">
        <f t="shared" si="12"/>
        <v/>
      </c>
      <c r="K397" s="39" t="str">
        <f t="shared" si="13"/>
        <v/>
      </c>
    </row>
    <row r="398" spans="10:11" ht="15" customHeight="1" x14ac:dyDescent="0.25">
      <c r="J398" s="39" t="str">
        <f t="shared" si="12"/>
        <v/>
      </c>
      <c r="K398" s="39" t="str">
        <f t="shared" si="13"/>
        <v/>
      </c>
    </row>
    <row r="399" spans="10:11" ht="15" customHeight="1" x14ac:dyDescent="0.25">
      <c r="J399" s="39" t="str">
        <f t="shared" si="12"/>
        <v/>
      </c>
      <c r="K399" s="39" t="str">
        <f t="shared" si="13"/>
        <v/>
      </c>
    </row>
    <row r="400" spans="10:11" ht="15" customHeight="1" x14ac:dyDescent="0.25">
      <c r="J400" s="39" t="str">
        <f t="shared" si="12"/>
        <v/>
      </c>
      <c r="K400" s="39" t="str">
        <f t="shared" si="13"/>
        <v/>
      </c>
    </row>
    <row r="401" spans="10:11" ht="15" customHeight="1" x14ac:dyDescent="0.25">
      <c r="J401" s="39" t="str">
        <f t="shared" si="12"/>
        <v/>
      </c>
      <c r="K401" s="39" t="str">
        <f t="shared" si="13"/>
        <v/>
      </c>
    </row>
    <row r="402" spans="10:11" ht="15" customHeight="1" x14ac:dyDescent="0.25">
      <c r="J402" s="39" t="str">
        <f t="shared" si="12"/>
        <v/>
      </c>
      <c r="K402" s="39" t="str">
        <f t="shared" si="13"/>
        <v/>
      </c>
    </row>
    <row r="403" spans="10:11" ht="15" customHeight="1" x14ac:dyDescent="0.25">
      <c r="J403" s="39" t="str">
        <f t="shared" si="12"/>
        <v/>
      </c>
      <c r="K403" s="39" t="str">
        <f t="shared" si="13"/>
        <v/>
      </c>
    </row>
    <row r="404" spans="10:11" ht="15" customHeight="1" x14ac:dyDescent="0.25">
      <c r="J404" s="39" t="str">
        <f t="shared" si="12"/>
        <v/>
      </c>
      <c r="K404" s="39" t="str">
        <f t="shared" si="13"/>
        <v/>
      </c>
    </row>
    <row r="405" spans="10:11" ht="15" customHeight="1" x14ac:dyDescent="0.25">
      <c r="J405" s="39" t="str">
        <f t="shared" si="12"/>
        <v/>
      </c>
      <c r="K405" s="39" t="str">
        <f t="shared" si="13"/>
        <v/>
      </c>
    </row>
    <row r="406" spans="10:11" ht="15" customHeight="1" x14ac:dyDescent="0.25">
      <c r="J406" s="39" t="str">
        <f t="shared" si="12"/>
        <v/>
      </c>
      <c r="K406" s="39" t="str">
        <f t="shared" si="13"/>
        <v/>
      </c>
    </row>
    <row r="407" spans="10:11" ht="15" customHeight="1" x14ac:dyDescent="0.25">
      <c r="J407" s="39" t="str">
        <f t="shared" si="12"/>
        <v/>
      </c>
      <c r="K407" s="39" t="str">
        <f t="shared" si="13"/>
        <v/>
      </c>
    </row>
    <row r="408" spans="10:11" ht="15" customHeight="1" x14ac:dyDescent="0.25">
      <c r="J408" s="39" t="str">
        <f t="shared" si="12"/>
        <v/>
      </c>
      <c r="K408" s="39" t="str">
        <f t="shared" si="13"/>
        <v/>
      </c>
    </row>
    <row r="409" spans="10:11" ht="15" customHeight="1" x14ac:dyDescent="0.25">
      <c r="J409" s="39" t="str">
        <f t="shared" si="12"/>
        <v/>
      </c>
      <c r="K409" s="39" t="str">
        <f t="shared" si="13"/>
        <v/>
      </c>
    </row>
    <row r="410" spans="10:11" ht="15" customHeight="1" x14ac:dyDescent="0.25">
      <c r="J410" s="39" t="str">
        <f t="shared" si="12"/>
        <v/>
      </c>
      <c r="K410" s="39" t="str">
        <f t="shared" si="13"/>
        <v/>
      </c>
    </row>
    <row r="411" spans="10:11" ht="15" customHeight="1" x14ac:dyDescent="0.25">
      <c r="J411" s="39" t="str">
        <f t="shared" si="12"/>
        <v/>
      </c>
      <c r="K411" s="39" t="str">
        <f t="shared" si="13"/>
        <v/>
      </c>
    </row>
    <row r="412" spans="10:11" ht="15" customHeight="1" x14ac:dyDescent="0.25">
      <c r="J412" s="39" t="str">
        <f t="shared" si="12"/>
        <v/>
      </c>
      <c r="K412" s="39" t="str">
        <f t="shared" si="13"/>
        <v/>
      </c>
    </row>
    <row r="413" spans="10:11" ht="15" customHeight="1" x14ac:dyDescent="0.25">
      <c r="J413" s="39" t="str">
        <f t="shared" si="12"/>
        <v/>
      </c>
      <c r="K413" s="39" t="str">
        <f t="shared" si="13"/>
        <v/>
      </c>
    </row>
    <row r="414" spans="10:11" ht="15" customHeight="1" x14ac:dyDescent="0.25">
      <c r="J414" s="39" t="str">
        <f t="shared" si="12"/>
        <v/>
      </c>
      <c r="K414" s="39" t="str">
        <f t="shared" si="13"/>
        <v/>
      </c>
    </row>
    <row r="415" spans="10:11" ht="15" customHeight="1" x14ac:dyDescent="0.25">
      <c r="J415" s="39" t="str">
        <f t="shared" si="12"/>
        <v/>
      </c>
      <c r="K415" s="39" t="str">
        <f t="shared" si="13"/>
        <v/>
      </c>
    </row>
    <row r="416" spans="10:11" ht="15" customHeight="1" x14ac:dyDescent="0.25">
      <c r="J416" s="39" t="str">
        <f t="shared" si="12"/>
        <v/>
      </c>
      <c r="K416" s="39" t="str">
        <f t="shared" si="13"/>
        <v/>
      </c>
    </row>
    <row r="417" spans="10:11" ht="15" customHeight="1" x14ac:dyDescent="0.25">
      <c r="J417" s="39" t="str">
        <f t="shared" si="12"/>
        <v/>
      </c>
      <c r="K417" s="39" t="str">
        <f t="shared" si="13"/>
        <v/>
      </c>
    </row>
    <row r="418" spans="10:11" ht="15" customHeight="1" x14ac:dyDescent="0.25">
      <c r="J418" s="39" t="str">
        <f t="shared" si="12"/>
        <v/>
      </c>
      <c r="K418" s="39" t="str">
        <f t="shared" si="13"/>
        <v/>
      </c>
    </row>
    <row r="419" spans="10:11" ht="15" customHeight="1" x14ac:dyDescent="0.25">
      <c r="J419" s="39" t="str">
        <f t="shared" si="12"/>
        <v/>
      </c>
      <c r="K419" s="39" t="str">
        <f t="shared" si="13"/>
        <v/>
      </c>
    </row>
    <row r="420" spans="10:11" ht="15" customHeight="1" x14ac:dyDescent="0.25">
      <c r="J420" s="39" t="str">
        <f t="shared" si="12"/>
        <v/>
      </c>
      <c r="K420" s="39" t="str">
        <f t="shared" si="13"/>
        <v/>
      </c>
    </row>
    <row r="421" spans="10:11" ht="15" customHeight="1" x14ac:dyDescent="0.25">
      <c r="J421" s="39" t="str">
        <f t="shared" si="12"/>
        <v/>
      </c>
      <c r="K421" s="39" t="str">
        <f t="shared" si="13"/>
        <v/>
      </c>
    </row>
    <row r="422" spans="10:11" ht="15" customHeight="1" x14ac:dyDescent="0.25">
      <c r="J422" s="39" t="str">
        <f t="shared" si="12"/>
        <v/>
      </c>
      <c r="K422" s="39" t="str">
        <f t="shared" si="13"/>
        <v/>
      </c>
    </row>
    <row r="423" spans="10:11" ht="15" customHeight="1" x14ac:dyDescent="0.25">
      <c r="J423" s="39" t="str">
        <f t="shared" si="12"/>
        <v/>
      </c>
      <c r="K423" s="39" t="str">
        <f t="shared" si="13"/>
        <v/>
      </c>
    </row>
    <row r="424" spans="10:11" ht="15" customHeight="1" x14ac:dyDescent="0.25">
      <c r="J424" s="39" t="str">
        <f t="shared" si="12"/>
        <v/>
      </c>
      <c r="K424" s="39" t="str">
        <f t="shared" si="13"/>
        <v/>
      </c>
    </row>
    <row r="425" spans="10:11" ht="15" customHeight="1" x14ac:dyDescent="0.25">
      <c r="J425" s="39" t="str">
        <f t="shared" si="12"/>
        <v/>
      </c>
      <c r="K425" s="39" t="str">
        <f t="shared" si="13"/>
        <v/>
      </c>
    </row>
    <row r="426" spans="10:11" ht="15" customHeight="1" x14ac:dyDescent="0.25">
      <c r="J426" s="39" t="str">
        <f t="shared" si="12"/>
        <v/>
      </c>
      <c r="K426" s="39" t="str">
        <f t="shared" si="13"/>
        <v/>
      </c>
    </row>
    <row r="427" spans="10:11" ht="15" customHeight="1" x14ac:dyDescent="0.25">
      <c r="J427" s="39" t="str">
        <f t="shared" si="12"/>
        <v/>
      </c>
      <c r="K427" s="39" t="str">
        <f t="shared" si="13"/>
        <v/>
      </c>
    </row>
    <row r="428" spans="10:11" ht="15" customHeight="1" x14ac:dyDescent="0.25">
      <c r="J428" s="39" t="str">
        <f t="shared" si="12"/>
        <v/>
      </c>
      <c r="K428" s="39" t="str">
        <f t="shared" si="13"/>
        <v/>
      </c>
    </row>
    <row r="429" spans="10:11" ht="15" customHeight="1" x14ac:dyDescent="0.25">
      <c r="J429" s="39" t="str">
        <f t="shared" si="12"/>
        <v/>
      </c>
      <c r="K429" s="39" t="str">
        <f t="shared" si="13"/>
        <v/>
      </c>
    </row>
    <row r="430" spans="10:11" ht="15" customHeight="1" x14ac:dyDescent="0.25">
      <c r="J430" s="39" t="str">
        <f t="shared" si="12"/>
        <v/>
      </c>
      <c r="K430" s="39" t="str">
        <f t="shared" si="13"/>
        <v/>
      </c>
    </row>
    <row r="431" spans="10:11" ht="15" customHeight="1" x14ac:dyDescent="0.25">
      <c r="J431" s="39" t="str">
        <f t="shared" si="12"/>
        <v/>
      </c>
      <c r="K431" s="39" t="str">
        <f t="shared" si="13"/>
        <v/>
      </c>
    </row>
    <row r="432" spans="10:11" ht="15" customHeight="1" x14ac:dyDescent="0.25">
      <c r="J432" s="39" t="str">
        <f t="shared" si="12"/>
        <v/>
      </c>
      <c r="K432" s="39" t="str">
        <f t="shared" si="13"/>
        <v/>
      </c>
    </row>
    <row r="433" spans="10:11" ht="15" customHeight="1" x14ac:dyDescent="0.25">
      <c r="J433" s="39" t="str">
        <f t="shared" si="12"/>
        <v/>
      </c>
      <c r="K433" s="39" t="str">
        <f t="shared" si="13"/>
        <v/>
      </c>
    </row>
    <row r="434" spans="10:11" ht="15" customHeight="1" x14ac:dyDescent="0.25">
      <c r="J434" s="39" t="str">
        <f t="shared" si="12"/>
        <v/>
      </c>
      <c r="K434" s="39" t="str">
        <f t="shared" si="13"/>
        <v/>
      </c>
    </row>
    <row r="435" spans="10:11" ht="15" customHeight="1" x14ac:dyDescent="0.25">
      <c r="J435" s="39" t="str">
        <f t="shared" si="12"/>
        <v/>
      </c>
      <c r="K435" s="39" t="str">
        <f t="shared" si="13"/>
        <v/>
      </c>
    </row>
    <row r="436" spans="10:11" ht="15" customHeight="1" x14ac:dyDescent="0.25">
      <c r="J436" s="39" t="str">
        <f t="shared" si="12"/>
        <v/>
      </c>
      <c r="K436" s="39" t="str">
        <f t="shared" si="13"/>
        <v/>
      </c>
    </row>
    <row r="437" spans="10:11" ht="15" customHeight="1" x14ac:dyDescent="0.25">
      <c r="J437" s="39" t="str">
        <f t="shared" si="12"/>
        <v/>
      </c>
      <c r="K437" s="39" t="str">
        <f t="shared" si="13"/>
        <v/>
      </c>
    </row>
    <row r="438" spans="10:11" ht="15" customHeight="1" x14ac:dyDescent="0.25">
      <c r="J438" s="39" t="str">
        <f t="shared" si="12"/>
        <v/>
      </c>
      <c r="K438" s="39" t="str">
        <f t="shared" si="13"/>
        <v/>
      </c>
    </row>
    <row r="439" spans="10:11" ht="15" customHeight="1" x14ac:dyDescent="0.25">
      <c r="J439" s="39" t="str">
        <f t="shared" si="12"/>
        <v/>
      </c>
      <c r="K439" s="39" t="str">
        <f t="shared" si="13"/>
        <v/>
      </c>
    </row>
    <row r="440" spans="10:11" ht="15" customHeight="1" x14ac:dyDescent="0.25">
      <c r="J440" s="39" t="str">
        <f t="shared" si="12"/>
        <v/>
      </c>
      <c r="K440" s="39" t="str">
        <f t="shared" si="13"/>
        <v/>
      </c>
    </row>
    <row r="441" spans="10:11" ht="15" customHeight="1" x14ac:dyDescent="0.25">
      <c r="J441" s="39" t="str">
        <f t="shared" si="12"/>
        <v/>
      </c>
      <c r="K441" s="39" t="str">
        <f t="shared" si="13"/>
        <v/>
      </c>
    </row>
    <row r="442" spans="10:11" ht="15" customHeight="1" x14ac:dyDescent="0.25">
      <c r="J442" s="39" t="str">
        <f t="shared" si="12"/>
        <v/>
      </c>
      <c r="K442" s="39" t="str">
        <f t="shared" si="13"/>
        <v/>
      </c>
    </row>
    <row r="443" spans="10:11" ht="15" customHeight="1" x14ac:dyDescent="0.25">
      <c r="J443" s="39" t="str">
        <f t="shared" si="12"/>
        <v/>
      </c>
      <c r="K443" s="39" t="str">
        <f t="shared" si="13"/>
        <v/>
      </c>
    </row>
    <row r="444" spans="10:11" ht="15" customHeight="1" x14ac:dyDescent="0.25">
      <c r="J444" s="39" t="str">
        <f t="shared" si="12"/>
        <v/>
      </c>
      <c r="K444" s="39" t="str">
        <f t="shared" si="13"/>
        <v/>
      </c>
    </row>
    <row r="445" spans="10:11" ht="15" customHeight="1" x14ac:dyDescent="0.25">
      <c r="J445" s="39" t="str">
        <f t="shared" si="12"/>
        <v/>
      </c>
      <c r="K445" s="39" t="str">
        <f t="shared" si="13"/>
        <v/>
      </c>
    </row>
    <row r="446" spans="10:11" ht="15" customHeight="1" x14ac:dyDescent="0.25">
      <c r="J446" s="39" t="str">
        <f t="shared" si="12"/>
        <v/>
      </c>
      <c r="K446" s="39" t="str">
        <f t="shared" si="13"/>
        <v/>
      </c>
    </row>
    <row r="447" spans="10:11" ht="15" customHeight="1" x14ac:dyDescent="0.25">
      <c r="J447" s="39" t="str">
        <f t="shared" si="12"/>
        <v/>
      </c>
      <c r="K447" s="39" t="str">
        <f t="shared" si="13"/>
        <v/>
      </c>
    </row>
    <row r="448" spans="10:11" ht="15" customHeight="1" x14ac:dyDescent="0.25">
      <c r="J448" s="39" t="str">
        <f t="shared" si="12"/>
        <v/>
      </c>
      <c r="K448" s="39" t="str">
        <f t="shared" si="13"/>
        <v/>
      </c>
    </row>
    <row r="449" spans="10:11" ht="15" customHeight="1" x14ac:dyDescent="0.25">
      <c r="J449" s="39" t="str">
        <f t="shared" si="12"/>
        <v/>
      </c>
      <c r="K449" s="39" t="str">
        <f t="shared" si="13"/>
        <v/>
      </c>
    </row>
    <row r="450" spans="10:11" ht="15" customHeight="1" x14ac:dyDescent="0.25">
      <c r="J450" s="39" t="str">
        <f t="shared" si="12"/>
        <v/>
      </c>
      <c r="K450" s="39" t="str">
        <f t="shared" si="13"/>
        <v/>
      </c>
    </row>
    <row r="451" spans="10:11" ht="15" customHeight="1" x14ac:dyDescent="0.25">
      <c r="J451" s="39" t="str">
        <f t="shared" si="12"/>
        <v/>
      </c>
      <c r="K451" s="39" t="str">
        <f t="shared" si="13"/>
        <v/>
      </c>
    </row>
    <row r="452" spans="10:11" ht="15" customHeight="1" x14ac:dyDescent="0.25">
      <c r="J452" s="39" t="str">
        <f t="shared" si="12"/>
        <v/>
      </c>
      <c r="K452" s="39" t="str">
        <f t="shared" si="13"/>
        <v/>
      </c>
    </row>
    <row r="453" spans="10:11" ht="15" customHeight="1" x14ac:dyDescent="0.25">
      <c r="J453" s="39" t="str">
        <f t="shared" si="12"/>
        <v/>
      </c>
      <c r="K453" s="39" t="str">
        <f t="shared" si="13"/>
        <v/>
      </c>
    </row>
    <row r="454" spans="10:11" ht="15" customHeight="1" x14ac:dyDescent="0.25">
      <c r="J454" s="39" t="str">
        <f t="shared" ref="J454:J502" si="14">IFERROR(IF(B454="","",IF(ISNUMBER(B454),TEXT(YEAR(B454),"0"),"")),"")</f>
        <v/>
      </c>
      <c r="K454" s="39" t="str">
        <f t="shared" ref="K454:K502" si="15">IFERROR(IF(B454="","",IF(ISNUMBER(B454),MONTH(B454),"")),"")</f>
        <v/>
      </c>
    </row>
    <row r="455" spans="10:11" ht="15" customHeight="1" x14ac:dyDescent="0.25">
      <c r="J455" s="39" t="str">
        <f t="shared" si="14"/>
        <v/>
      </c>
      <c r="K455" s="39" t="str">
        <f t="shared" si="15"/>
        <v/>
      </c>
    </row>
    <row r="456" spans="10:11" ht="15" customHeight="1" x14ac:dyDescent="0.25">
      <c r="J456" s="39" t="str">
        <f t="shared" si="14"/>
        <v/>
      </c>
      <c r="K456" s="39" t="str">
        <f t="shared" si="15"/>
        <v/>
      </c>
    </row>
    <row r="457" spans="10:11" ht="15" customHeight="1" x14ac:dyDescent="0.25">
      <c r="J457" s="39" t="str">
        <f t="shared" si="14"/>
        <v/>
      </c>
      <c r="K457" s="39" t="str">
        <f t="shared" si="15"/>
        <v/>
      </c>
    </row>
    <row r="458" spans="10:11" ht="15" customHeight="1" x14ac:dyDescent="0.25">
      <c r="J458" s="39" t="str">
        <f t="shared" si="14"/>
        <v/>
      </c>
      <c r="K458" s="39" t="str">
        <f t="shared" si="15"/>
        <v/>
      </c>
    </row>
    <row r="459" spans="10:11" ht="15" customHeight="1" x14ac:dyDescent="0.25">
      <c r="J459" s="39" t="str">
        <f t="shared" si="14"/>
        <v/>
      </c>
      <c r="K459" s="39" t="str">
        <f t="shared" si="15"/>
        <v/>
      </c>
    </row>
    <row r="460" spans="10:11" ht="15" customHeight="1" x14ac:dyDescent="0.25">
      <c r="J460" s="39" t="str">
        <f t="shared" si="14"/>
        <v/>
      </c>
      <c r="K460" s="39" t="str">
        <f t="shared" si="15"/>
        <v/>
      </c>
    </row>
    <row r="461" spans="10:11" ht="15" customHeight="1" x14ac:dyDescent="0.25">
      <c r="J461" s="39" t="str">
        <f t="shared" si="14"/>
        <v/>
      </c>
      <c r="K461" s="39" t="str">
        <f t="shared" si="15"/>
        <v/>
      </c>
    </row>
    <row r="462" spans="10:11" ht="15" customHeight="1" x14ac:dyDescent="0.25">
      <c r="J462" s="39" t="str">
        <f t="shared" si="14"/>
        <v/>
      </c>
      <c r="K462" s="39" t="str">
        <f t="shared" si="15"/>
        <v/>
      </c>
    </row>
    <row r="463" spans="10:11" ht="15" customHeight="1" x14ac:dyDescent="0.25">
      <c r="J463" s="39" t="str">
        <f t="shared" si="14"/>
        <v/>
      </c>
      <c r="K463" s="39" t="str">
        <f t="shared" si="15"/>
        <v/>
      </c>
    </row>
    <row r="464" spans="10:11" ht="15" customHeight="1" x14ac:dyDescent="0.25">
      <c r="J464" s="39" t="str">
        <f t="shared" si="14"/>
        <v/>
      </c>
      <c r="K464" s="39" t="str">
        <f t="shared" si="15"/>
        <v/>
      </c>
    </row>
    <row r="465" spans="10:11" ht="15" customHeight="1" x14ac:dyDescent="0.25">
      <c r="J465" s="39" t="str">
        <f t="shared" si="14"/>
        <v/>
      </c>
      <c r="K465" s="39" t="str">
        <f t="shared" si="15"/>
        <v/>
      </c>
    </row>
    <row r="466" spans="10:11" ht="15" customHeight="1" x14ac:dyDescent="0.25">
      <c r="J466" s="39" t="str">
        <f t="shared" si="14"/>
        <v/>
      </c>
      <c r="K466" s="39" t="str">
        <f t="shared" si="15"/>
        <v/>
      </c>
    </row>
    <row r="467" spans="10:11" ht="15" customHeight="1" x14ac:dyDescent="0.25">
      <c r="J467" s="39" t="str">
        <f t="shared" si="14"/>
        <v/>
      </c>
      <c r="K467" s="39" t="str">
        <f t="shared" si="15"/>
        <v/>
      </c>
    </row>
    <row r="468" spans="10:11" ht="15" customHeight="1" x14ac:dyDescent="0.25">
      <c r="J468" s="39" t="str">
        <f t="shared" si="14"/>
        <v/>
      </c>
      <c r="K468" s="39" t="str">
        <f t="shared" si="15"/>
        <v/>
      </c>
    </row>
    <row r="469" spans="10:11" ht="15" customHeight="1" x14ac:dyDescent="0.25">
      <c r="J469" s="39" t="str">
        <f t="shared" si="14"/>
        <v/>
      </c>
      <c r="K469" s="39" t="str">
        <f t="shared" si="15"/>
        <v/>
      </c>
    </row>
    <row r="470" spans="10:11" ht="15" customHeight="1" x14ac:dyDescent="0.25">
      <c r="J470" s="39" t="str">
        <f t="shared" si="14"/>
        <v/>
      </c>
      <c r="K470" s="39" t="str">
        <f t="shared" si="15"/>
        <v/>
      </c>
    </row>
    <row r="471" spans="10:11" ht="15" customHeight="1" x14ac:dyDescent="0.25">
      <c r="J471" s="39" t="str">
        <f t="shared" si="14"/>
        <v/>
      </c>
      <c r="K471" s="39" t="str">
        <f t="shared" si="15"/>
        <v/>
      </c>
    </row>
    <row r="472" spans="10:11" ht="15" customHeight="1" x14ac:dyDescent="0.25">
      <c r="J472" s="39" t="str">
        <f t="shared" si="14"/>
        <v/>
      </c>
      <c r="K472" s="39" t="str">
        <f t="shared" si="15"/>
        <v/>
      </c>
    </row>
    <row r="473" spans="10:11" ht="15" customHeight="1" x14ac:dyDescent="0.25">
      <c r="J473" s="39" t="str">
        <f t="shared" si="14"/>
        <v/>
      </c>
      <c r="K473" s="39" t="str">
        <f t="shared" si="15"/>
        <v/>
      </c>
    </row>
    <row r="474" spans="10:11" ht="15" customHeight="1" x14ac:dyDescent="0.25">
      <c r="J474" s="39" t="str">
        <f t="shared" si="14"/>
        <v/>
      </c>
      <c r="K474" s="39" t="str">
        <f t="shared" si="15"/>
        <v/>
      </c>
    </row>
    <row r="475" spans="10:11" ht="15" customHeight="1" x14ac:dyDescent="0.25">
      <c r="J475" s="39" t="str">
        <f t="shared" si="14"/>
        <v/>
      </c>
      <c r="K475" s="39" t="str">
        <f t="shared" si="15"/>
        <v/>
      </c>
    </row>
    <row r="476" spans="10:11" ht="15" customHeight="1" x14ac:dyDescent="0.25">
      <c r="J476" s="39" t="str">
        <f t="shared" si="14"/>
        <v/>
      </c>
      <c r="K476" s="39" t="str">
        <f t="shared" si="15"/>
        <v/>
      </c>
    </row>
    <row r="477" spans="10:11" ht="15" customHeight="1" x14ac:dyDescent="0.25">
      <c r="J477" s="39" t="str">
        <f t="shared" si="14"/>
        <v/>
      </c>
      <c r="K477" s="39" t="str">
        <f t="shared" si="15"/>
        <v/>
      </c>
    </row>
    <row r="478" spans="10:11" ht="15" customHeight="1" x14ac:dyDescent="0.25">
      <c r="J478" s="39" t="str">
        <f t="shared" si="14"/>
        <v/>
      </c>
      <c r="K478" s="39" t="str">
        <f t="shared" si="15"/>
        <v/>
      </c>
    </row>
    <row r="479" spans="10:11" ht="15" customHeight="1" x14ac:dyDescent="0.25">
      <c r="J479" s="39" t="str">
        <f t="shared" si="14"/>
        <v/>
      </c>
      <c r="K479" s="39" t="str">
        <f t="shared" si="15"/>
        <v/>
      </c>
    </row>
    <row r="480" spans="10:11" ht="15" customHeight="1" x14ac:dyDescent="0.25">
      <c r="J480" s="39" t="str">
        <f t="shared" si="14"/>
        <v/>
      </c>
      <c r="K480" s="39" t="str">
        <f t="shared" si="15"/>
        <v/>
      </c>
    </row>
    <row r="481" spans="10:11" ht="15" customHeight="1" x14ac:dyDescent="0.25">
      <c r="J481" s="39" t="str">
        <f t="shared" si="14"/>
        <v/>
      </c>
      <c r="K481" s="39" t="str">
        <f t="shared" si="15"/>
        <v/>
      </c>
    </row>
    <row r="482" spans="10:11" ht="15" customHeight="1" x14ac:dyDescent="0.25">
      <c r="J482" s="39" t="str">
        <f t="shared" si="14"/>
        <v/>
      </c>
      <c r="K482" s="39" t="str">
        <f t="shared" si="15"/>
        <v/>
      </c>
    </row>
    <row r="483" spans="10:11" ht="15" customHeight="1" x14ac:dyDescent="0.25">
      <c r="J483" s="39" t="str">
        <f t="shared" si="14"/>
        <v/>
      </c>
      <c r="K483" s="39" t="str">
        <f t="shared" si="15"/>
        <v/>
      </c>
    </row>
    <row r="484" spans="10:11" ht="15" customHeight="1" x14ac:dyDescent="0.25">
      <c r="J484" s="39" t="str">
        <f t="shared" si="14"/>
        <v/>
      </c>
      <c r="K484" s="39" t="str">
        <f t="shared" si="15"/>
        <v/>
      </c>
    </row>
    <row r="485" spans="10:11" ht="15" customHeight="1" x14ac:dyDescent="0.25">
      <c r="J485" s="39" t="str">
        <f t="shared" si="14"/>
        <v/>
      </c>
      <c r="K485" s="39" t="str">
        <f t="shared" si="15"/>
        <v/>
      </c>
    </row>
    <row r="486" spans="10:11" ht="15" customHeight="1" x14ac:dyDescent="0.25">
      <c r="J486" s="39" t="str">
        <f t="shared" si="14"/>
        <v/>
      </c>
      <c r="K486" s="39" t="str">
        <f t="shared" si="15"/>
        <v/>
      </c>
    </row>
    <row r="487" spans="10:11" ht="15" customHeight="1" x14ac:dyDescent="0.25">
      <c r="J487" s="39" t="str">
        <f t="shared" si="14"/>
        <v/>
      </c>
      <c r="K487" s="39" t="str">
        <f t="shared" si="15"/>
        <v/>
      </c>
    </row>
    <row r="488" spans="10:11" ht="15" customHeight="1" x14ac:dyDescent="0.25">
      <c r="J488" s="39" t="str">
        <f t="shared" si="14"/>
        <v/>
      </c>
      <c r="K488" s="39" t="str">
        <f t="shared" si="15"/>
        <v/>
      </c>
    </row>
    <row r="489" spans="10:11" ht="15" customHeight="1" x14ac:dyDescent="0.25">
      <c r="J489" s="39" t="str">
        <f t="shared" si="14"/>
        <v/>
      </c>
      <c r="K489" s="39" t="str">
        <f t="shared" si="15"/>
        <v/>
      </c>
    </row>
    <row r="490" spans="10:11" ht="15" customHeight="1" x14ac:dyDescent="0.25">
      <c r="J490" s="39" t="str">
        <f t="shared" si="14"/>
        <v/>
      </c>
      <c r="K490" s="39" t="str">
        <f t="shared" si="15"/>
        <v/>
      </c>
    </row>
    <row r="491" spans="10:11" ht="15" customHeight="1" x14ac:dyDescent="0.25">
      <c r="J491" s="39" t="str">
        <f t="shared" si="14"/>
        <v/>
      </c>
      <c r="K491" s="39" t="str">
        <f t="shared" si="15"/>
        <v/>
      </c>
    </row>
    <row r="492" spans="10:11" ht="15" customHeight="1" x14ac:dyDescent="0.25">
      <c r="J492" s="39" t="str">
        <f t="shared" si="14"/>
        <v/>
      </c>
      <c r="K492" s="39" t="str">
        <f t="shared" si="15"/>
        <v/>
      </c>
    </row>
    <row r="493" spans="10:11" ht="15" customHeight="1" x14ac:dyDescent="0.25">
      <c r="J493" s="39" t="str">
        <f t="shared" si="14"/>
        <v/>
      </c>
      <c r="K493" s="39" t="str">
        <f t="shared" si="15"/>
        <v/>
      </c>
    </row>
    <row r="494" spans="10:11" ht="15" customHeight="1" x14ac:dyDescent="0.25">
      <c r="J494" s="39" t="str">
        <f t="shared" si="14"/>
        <v/>
      </c>
      <c r="K494" s="39" t="str">
        <f t="shared" si="15"/>
        <v/>
      </c>
    </row>
    <row r="495" spans="10:11" ht="15" customHeight="1" x14ac:dyDescent="0.25">
      <c r="J495" s="39" t="str">
        <f t="shared" si="14"/>
        <v/>
      </c>
      <c r="K495" s="39" t="str">
        <f t="shared" si="15"/>
        <v/>
      </c>
    </row>
    <row r="496" spans="10:11" ht="15" customHeight="1" x14ac:dyDescent="0.25">
      <c r="J496" s="39" t="str">
        <f t="shared" si="14"/>
        <v/>
      </c>
      <c r="K496" s="39" t="str">
        <f t="shared" si="15"/>
        <v/>
      </c>
    </row>
    <row r="497" spans="10:11" ht="15" customHeight="1" x14ac:dyDescent="0.25">
      <c r="J497" s="39" t="str">
        <f t="shared" si="14"/>
        <v/>
      </c>
      <c r="K497" s="39" t="str">
        <f t="shared" si="15"/>
        <v/>
      </c>
    </row>
    <row r="498" spans="10:11" ht="15" customHeight="1" x14ac:dyDescent="0.25">
      <c r="J498" s="39" t="str">
        <f t="shared" si="14"/>
        <v/>
      </c>
      <c r="K498" s="39" t="str">
        <f t="shared" si="15"/>
        <v/>
      </c>
    </row>
    <row r="499" spans="10:11" ht="15" customHeight="1" x14ac:dyDescent="0.25">
      <c r="J499" s="39" t="str">
        <f t="shared" si="14"/>
        <v/>
      </c>
      <c r="K499" s="39" t="str">
        <f t="shared" si="15"/>
        <v/>
      </c>
    </row>
    <row r="500" spans="10:11" ht="15" customHeight="1" x14ac:dyDescent="0.25">
      <c r="J500" s="39" t="str">
        <f t="shared" si="14"/>
        <v/>
      </c>
      <c r="K500" s="39" t="str">
        <f t="shared" si="15"/>
        <v/>
      </c>
    </row>
    <row r="501" spans="10:11" ht="15" customHeight="1" x14ac:dyDescent="0.25">
      <c r="J501" s="39" t="str">
        <f t="shared" si="14"/>
        <v/>
      </c>
      <c r="K501" s="39" t="str">
        <f t="shared" si="15"/>
        <v/>
      </c>
    </row>
    <row r="502" spans="10:11" ht="15" customHeight="1" x14ac:dyDescent="0.25">
      <c r="J502" s="39" t="str">
        <f t="shared" si="14"/>
        <v/>
      </c>
      <c r="K502" s="39" t="str">
        <f t="shared" si="15"/>
        <v/>
      </c>
    </row>
  </sheetData>
  <autoFilter ref="A3:K502" xr:uid="{00000000-0009-0000-0000-000001000000}"/>
  <mergeCells count="2">
    <mergeCell ref="A1:K1"/>
    <mergeCell ref="A2:K2"/>
  </mergeCells>
  <conditionalFormatting sqref="F4:F502 H4:H502 I84:I91">
    <cfRule type="cellIs" dxfId="13" priority="2" operator="equal">
      <formula>"Ja"</formula>
    </cfRule>
    <cfRule type="cellIs" dxfId="12" priority="3" operator="equal">
      <formula>"Nein"</formula>
    </cfRule>
  </conditionalFormatting>
  <dataValidations count="3">
    <dataValidation type="list" allowBlank="1" prompt="Ja oder Nein wählen" sqref="H4:H502 F4:F502" xr:uid="{00000000-0002-0000-0100-000000000000}">
      <formula1>"Ja,Nein"</formula1>
      <formula2>0</formula2>
    </dataValidation>
    <dataValidation type="list" allowBlank="1" sqref="G4:G502" xr:uid="{00000000-0002-0000-0100-000001000000}">
      <formula1>"1,2,3,4,5"</formula1>
      <formula2>0</formula2>
    </dataValidation>
    <dataValidation type="list" allowBlank="1" sqref="E4:E502" xr:uid="{00000000-0002-0000-0100-000002000000}">
      <formula1>"Feuerwehr (FFW),Sportverein,Kulturverein / Theater,Musikverein,Soziale Einrichtung,THW / Hilfsorganisation,Gemeinde / Kommune,Schule / Kita,Sonstige"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L31"/>
  <sheetViews>
    <sheetView zoomScaleNormal="100" workbookViewId="0">
      <pane ySplit="3" topLeftCell="A4" activePane="bottomLeft" state="frozen"/>
      <selection pane="bottomLeft" activeCell="F31" sqref="F31"/>
    </sheetView>
  </sheetViews>
  <sheetFormatPr baseColWidth="10" defaultColWidth="8.7109375" defaultRowHeight="15" x14ac:dyDescent="0.25"/>
  <cols>
    <col min="1" max="1" width="14" customWidth="1"/>
    <col min="2" max="7" width="13" customWidth="1"/>
    <col min="8" max="11" width="12" customWidth="1"/>
    <col min="12" max="12" width="13" customWidth="1"/>
  </cols>
  <sheetData>
    <row r="1" spans="1:12" ht="34.5" customHeight="1" x14ac:dyDescent="0.25">
      <c r="A1" s="53" t="s">
        <v>187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15" customHeight="1" x14ac:dyDescent="0.25">
      <c r="A2" s="54" t="s">
        <v>188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 ht="39.75" customHeight="1" x14ac:dyDescent="0.25">
      <c r="A3" s="15" t="s">
        <v>189</v>
      </c>
      <c r="B3" s="15" t="s">
        <v>190</v>
      </c>
      <c r="C3" s="15" t="s">
        <v>191</v>
      </c>
      <c r="D3" s="15" t="s">
        <v>192</v>
      </c>
      <c r="E3" s="15" t="s">
        <v>193</v>
      </c>
      <c r="F3" s="15" t="s">
        <v>194</v>
      </c>
      <c r="G3" s="15" t="s">
        <v>195</v>
      </c>
      <c r="H3" s="15" t="s">
        <v>196</v>
      </c>
      <c r="I3" s="15" t="s">
        <v>197</v>
      </c>
      <c r="J3" s="15" t="s">
        <v>198</v>
      </c>
      <c r="K3" s="15" t="s">
        <v>199</v>
      </c>
      <c r="L3" s="15" t="s">
        <v>200</v>
      </c>
    </row>
    <row r="4" spans="1:12" ht="15" customHeight="1" x14ac:dyDescent="0.25">
      <c r="A4" s="23" t="s">
        <v>201</v>
      </c>
      <c r="B4" s="17">
        <f>COUNTIFS(Rohdaten!J:J,"2025",Rohdaten!K:K,10)</f>
        <v>2</v>
      </c>
      <c r="C4" s="17">
        <f>COUNTIFS(Rohdaten!J:J,"2025",Rohdaten!K:K,10,Rohdaten!F:F,"Ja")</f>
        <v>2</v>
      </c>
      <c r="D4" s="24">
        <f t="shared" ref="D4:D31" si="0">IF(B4=0,"-",C4/B4)</f>
        <v>1</v>
      </c>
      <c r="E4" s="17">
        <f>COUNTIFS(Rohdaten!J:J,"2025",Rohdaten!K:K,10,Rohdaten!H:H,"Ja")</f>
        <v>2</v>
      </c>
      <c r="F4" s="24">
        <f t="shared" ref="F4:F31" si="1">IF(B4=0,"-",E4/B4)</f>
        <v>1</v>
      </c>
      <c r="G4" s="25">
        <f>IFERROR(AVERAGEIFS(Rohdaten!G:G,Rohdaten!J:J,"2025",Rohdaten!K:K,10,Rohdaten!F:F,"Ja"),"-")</f>
        <v>5</v>
      </c>
      <c r="H4" s="17">
        <f>COUNTIFS(Rohdaten!J:J,"2025",Rohdaten!K:K,10,Rohdaten!G:G,5)</f>
        <v>2</v>
      </c>
      <c r="I4" s="17">
        <f>COUNTIFS(Rohdaten!J:J,"2025",Rohdaten!K:K,10,Rohdaten!G:G,4)</f>
        <v>0</v>
      </c>
      <c r="J4" s="17">
        <f>COUNTIFS(Rohdaten!J:J,"2025",Rohdaten!K:K,10,Rohdaten!G:G,3)</f>
        <v>0</v>
      </c>
      <c r="K4" s="17">
        <f>COUNTIFS(Rohdaten!J:J,"2025",Rohdaten!K:K,10,Rohdaten!G:G,"&lt;3")</f>
        <v>0</v>
      </c>
      <c r="L4" s="24" t="e">
        <f>IF(C4=0,"-",COUNTIFS(Rohdaten!J:J,"2025",Rohdaten!K:K,10,Rohdaten!#REF!,"Ja")/C4)</f>
        <v>#REF!</v>
      </c>
    </row>
    <row r="5" spans="1:12" ht="15" customHeight="1" x14ac:dyDescent="0.25">
      <c r="A5" s="23" t="s">
        <v>202</v>
      </c>
      <c r="B5" s="26">
        <f>COUNTIFS(Rohdaten!J:J,"2025",Rohdaten!K:K,11)</f>
        <v>4</v>
      </c>
      <c r="C5" s="26">
        <f>COUNTIFS(Rohdaten!J:J,"2025",Rohdaten!K:K,11,Rohdaten!F:F,"Ja")</f>
        <v>4</v>
      </c>
      <c r="D5" s="27">
        <f t="shared" si="0"/>
        <v>1</v>
      </c>
      <c r="E5" s="26">
        <f>COUNTIFS(Rohdaten!J:J,"2025",Rohdaten!K:K,11,Rohdaten!H:H,"Ja")</f>
        <v>3</v>
      </c>
      <c r="F5" s="27">
        <f t="shared" si="1"/>
        <v>0.75</v>
      </c>
      <c r="G5" s="28">
        <f>IFERROR(AVERAGEIFS(Rohdaten!G:G,Rohdaten!J:J,"2025",Rohdaten!K:K,11,Rohdaten!F:F,"Ja"),"-")</f>
        <v>5</v>
      </c>
      <c r="H5" s="26">
        <f>COUNTIFS(Rohdaten!J:J,"2025",Rohdaten!K:K,11,Rohdaten!G:G,5)</f>
        <v>4</v>
      </c>
      <c r="I5" s="26">
        <f>COUNTIFS(Rohdaten!J:J,"2025",Rohdaten!K:K,11,Rohdaten!G:G,4)</f>
        <v>0</v>
      </c>
      <c r="J5" s="26">
        <f>COUNTIFS(Rohdaten!J:J,"2025",Rohdaten!K:K,11,Rohdaten!G:G,3)</f>
        <v>0</v>
      </c>
      <c r="K5" s="26">
        <f>COUNTIFS(Rohdaten!J:J,"2025",Rohdaten!K:K,11,Rohdaten!G:G,"&lt;3")</f>
        <v>0</v>
      </c>
      <c r="L5" s="27" t="e">
        <f>IF(C5=0,"-",COUNTIFS(Rohdaten!J:J,"2025",Rohdaten!K:K,11,Rohdaten!#REF!,"Ja")/C5)</f>
        <v>#REF!</v>
      </c>
    </row>
    <row r="6" spans="1:12" ht="15" customHeight="1" x14ac:dyDescent="0.25">
      <c r="A6" s="23" t="s">
        <v>203</v>
      </c>
      <c r="B6" s="17">
        <f>COUNTIFS(Rohdaten!J:J,"2025",Rohdaten!K:K,12)</f>
        <v>3</v>
      </c>
      <c r="C6" s="17">
        <f>COUNTIFS(Rohdaten!J:J,"2025",Rohdaten!K:K,12,Rohdaten!F:F,"Ja")</f>
        <v>3</v>
      </c>
      <c r="D6" s="24">
        <f t="shared" si="0"/>
        <v>1</v>
      </c>
      <c r="E6" s="17">
        <f>COUNTIFS(Rohdaten!J:J,"2025",Rohdaten!K:K,12,Rohdaten!H:H,"Ja")</f>
        <v>1</v>
      </c>
      <c r="F6" s="24">
        <f t="shared" si="1"/>
        <v>0.33333333333333331</v>
      </c>
      <c r="G6" s="25">
        <f>IFERROR(AVERAGEIFS(Rohdaten!G:G,Rohdaten!J:J,"2025",Rohdaten!K:K,12,Rohdaten!F:F,"Ja"),"-")</f>
        <v>4.666666666666667</v>
      </c>
      <c r="H6" s="17">
        <f>COUNTIFS(Rohdaten!J:J,"2025",Rohdaten!K:K,12,Rohdaten!G:G,5)</f>
        <v>2</v>
      </c>
      <c r="I6" s="17">
        <f>COUNTIFS(Rohdaten!J:J,"2025",Rohdaten!K:K,12,Rohdaten!G:G,4)</f>
        <v>1</v>
      </c>
      <c r="J6" s="17">
        <f>COUNTIFS(Rohdaten!J:J,"2025",Rohdaten!K:K,12,Rohdaten!G:G,3)</f>
        <v>0</v>
      </c>
      <c r="K6" s="17">
        <f>COUNTIFS(Rohdaten!J:J,"2025",Rohdaten!K:K,12,Rohdaten!G:G,"&lt;3")</f>
        <v>0</v>
      </c>
      <c r="L6" s="24" t="e">
        <f>IF(C6=0,"-",COUNTIFS(Rohdaten!J:J,"2025",Rohdaten!K:K,12,Rohdaten!#REF!,"Ja")/C6)</f>
        <v>#REF!</v>
      </c>
    </row>
    <row r="7" spans="1:12" ht="15" customHeight="1" x14ac:dyDescent="0.25">
      <c r="A7" s="23" t="s">
        <v>204</v>
      </c>
      <c r="B7" s="26">
        <f>COUNTIFS(Rohdaten!J:J,"2026",Rohdaten!K:K,1)</f>
        <v>3</v>
      </c>
      <c r="C7" s="26">
        <f>COUNTIFS(Rohdaten!J:J,"2026",Rohdaten!K:K,1,Rohdaten!F:F,"Ja")</f>
        <v>1</v>
      </c>
      <c r="D7" s="27">
        <f t="shared" si="0"/>
        <v>0.33333333333333331</v>
      </c>
      <c r="E7" s="26">
        <f>COUNTIFS(Rohdaten!J:J,"2026",Rohdaten!K:K,1,Rohdaten!H:H,"Ja")</f>
        <v>1</v>
      </c>
      <c r="F7" s="27">
        <f t="shared" si="1"/>
        <v>0.33333333333333331</v>
      </c>
      <c r="G7" s="28">
        <f>IFERROR(AVERAGEIFS(Rohdaten!G:G,Rohdaten!J:J,"2026",Rohdaten!K:K,1,Rohdaten!F:F,"Ja"),"-")</f>
        <v>5</v>
      </c>
      <c r="H7" s="26">
        <f>COUNTIFS(Rohdaten!J:J,"2026",Rohdaten!K:K,1,Rohdaten!G:G,5)</f>
        <v>3</v>
      </c>
      <c r="I7" s="26">
        <f>COUNTIFS(Rohdaten!J:J,"2026",Rohdaten!K:K,1,Rohdaten!G:G,4)</f>
        <v>0</v>
      </c>
      <c r="J7" s="26">
        <f>COUNTIFS(Rohdaten!J:J,"2026",Rohdaten!K:K,1,Rohdaten!G:G,3)</f>
        <v>0</v>
      </c>
      <c r="K7" s="26">
        <f>COUNTIFS(Rohdaten!J:J,"2026",Rohdaten!K:K,1,Rohdaten!G:G,"&lt;3")</f>
        <v>0</v>
      </c>
      <c r="L7" s="27" t="e">
        <f>IF(C7=0,"-",COUNTIFS(Rohdaten!J:J,"2026",Rohdaten!K:K,1,Rohdaten!#REF!,"Ja")/C7)</f>
        <v>#REF!</v>
      </c>
    </row>
    <row r="8" spans="1:12" ht="15" customHeight="1" x14ac:dyDescent="0.25">
      <c r="A8" s="23" t="s">
        <v>205</v>
      </c>
      <c r="B8" s="17">
        <f>COUNTIFS(Rohdaten!J:J,"2026",Rohdaten!K:K,2)</f>
        <v>14</v>
      </c>
      <c r="C8" s="17">
        <f>COUNTIFS(Rohdaten!J:J,"2026",Rohdaten!K:K,2,Rohdaten!F:F,"Ja")</f>
        <v>11</v>
      </c>
      <c r="D8" s="24">
        <f t="shared" si="0"/>
        <v>0.7857142857142857</v>
      </c>
      <c r="E8" s="17">
        <f>COUNTIFS(Rohdaten!J:J,"2026",Rohdaten!K:K,2,Rohdaten!H:H,"Ja")</f>
        <v>13</v>
      </c>
      <c r="F8" s="24">
        <f t="shared" si="1"/>
        <v>0.9285714285714286</v>
      </c>
      <c r="G8" s="25">
        <f>IFERROR(AVERAGEIFS(Rohdaten!G:G,Rohdaten!J:J,"2026",Rohdaten!K:K,2,Rohdaten!F:F,"Ja"),"-")</f>
        <v>5</v>
      </c>
      <c r="H8" s="17">
        <f>COUNTIFS(Rohdaten!J:J,"2026",Rohdaten!K:K,2,Rohdaten!G:G,5)</f>
        <v>11</v>
      </c>
      <c r="I8" s="17">
        <f>COUNTIFS(Rohdaten!J:J,"2026",Rohdaten!K:K,2,Rohdaten!G:G,4)</f>
        <v>0</v>
      </c>
      <c r="J8" s="17">
        <f>COUNTIFS(Rohdaten!J:J,"2026",Rohdaten!K:K,2,Rohdaten!G:G,3)</f>
        <v>0</v>
      </c>
      <c r="K8" s="17">
        <f>COUNTIFS(Rohdaten!J:J,"2026",Rohdaten!K:K,2,Rohdaten!G:G,"&lt;3")</f>
        <v>0</v>
      </c>
      <c r="L8" s="24" t="e">
        <f>IF(C8=0,"-",COUNTIFS(Rohdaten!J:J,"2026",Rohdaten!K:K,2,Rohdaten!#REF!,"Ja")/C8)</f>
        <v>#REF!</v>
      </c>
    </row>
    <row r="9" spans="1:12" ht="15" customHeight="1" x14ac:dyDescent="0.25">
      <c r="A9" s="23" t="s">
        <v>206</v>
      </c>
      <c r="B9" s="26">
        <f>COUNTIFS(Rohdaten!J:J,"2026",Rohdaten!K:K,3)</f>
        <v>21</v>
      </c>
      <c r="C9" s="26">
        <f>COUNTIFS(Rohdaten!J:J,"2026",Rohdaten!K:K,3,Rohdaten!F:F,"Ja")</f>
        <v>15</v>
      </c>
      <c r="D9" s="27">
        <f t="shared" si="0"/>
        <v>0.7142857142857143</v>
      </c>
      <c r="E9" s="26">
        <f>COUNTIFS(Rohdaten!J:J,"2026",Rohdaten!K:K,3,Rohdaten!H:H,"Ja")</f>
        <v>17</v>
      </c>
      <c r="F9" s="27">
        <f t="shared" si="1"/>
        <v>0.80952380952380953</v>
      </c>
      <c r="G9" s="28">
        <f>IFERROR(AVERAGEIFS(Rohdaten!G:G,Rohdaten!J:J,"2026",Rohdaten!K:K,3,Rohdaten!F:F,"Ja"),"-")</f>
        <v>5</v>
      </c>
      <c r="H9" s="26">
        <f>COUNTIFS(Rohdaten!J:J,"2026",Rohdaten!K:K,3,Rohdaten!G:G,5)</f>
        <v>15</v>
      </c>
      <c r="I9" s="26">
        <f>COUNTIFS(Rohdaten!J:J,"2026",Rohdaten!K:K,3,Rohdaten!G:G,4)</f>
        <v>0</v>
      </c>
      <c r="J9" s="26">
        <f>COUNTIFS(Rohdaten!J:J,"2026",Rohdaten!K:K,3,Rohdaten!G:G,3)</f>
        <v>0</v>
      </c>
      <c r="K9" s="26">
        <f>COUNTIFS(Rohdaten!J:J,"2026",Rohdaten!K:K,3,Rohdaten!G:G,"&lt;3")</f>
        <v>0</v>
      </c>
      <c r="L9" s="27" t="e">
        <f>IF(C9=0,"-",COUNTIFS(Rohdaten!J:J,"2026",Rohdaten!K:K,3,Rohdaten!#REF!,"Ja")/C9)</f>
        <v>#REF!</v>
      </c>
    </row>
    <row r="10" spans="1:12" ht="15" customHeight="1" x14ac:dyDescent="0.25">
      <c r="A10" s="23" t="s">
        <v>207</v>
      </c>
      <c r="B10" s="17">
        <f>COUNTIFS(Rohdaten!J:J,"2026",Rohdaten!K:K,4)</f>
        <v>17</v>
      </c>
      <c r="C10" s="17">
        <f>COUNTIFS(Rohdaten!J:J,"2026",Rohdaten!K:K,4,Rohdaten!F:F,"Ja")</f>
        <v>8</v>
      </c>
      <c r="D10" s="24">
        <f t="shared" si="0"/>
        <v>0.47058823529411764</v>
      </c>
      <c r="E10" s="17">
        <f>COUNTIFS(Rohdaten!J:J,"2026",Rohdaten!K:K,4,Rohdaten!H:H,"Ja")</f>
        <v>16</v>
      </c>
      <c r="F10" s="24">
        <f t="shared" si="1"/>
        <v>0.94117647058823528</v>
      </c>
      <c r="G10" s="25">
        <f>IFERROR(AVERAGEIFS(Rohdaten!G:G,Rohdaten!J:J,"2026",Rohdaten!K:K,4,Rohdaten!F:F,"Ja"),"-")</f>
        <v>5</v>
      </c>
      <c r="H10" s="17">
        <f>COUNTIFS(Rohdaten!J:J,"2026",Rohdaten!K:K,4,Rohdaten!G:G,5)</f>
        <v>8</v>
      </c>
      <c r="I10" s="17">
        <f>COUNTIFS(Rohdaten!J:J,"2026",Rohdaten!K:K,4,Rohdaten!G:G,4)</f>
        <v>0</v>
      </c>
      <c r="J10" s="17">
        <f>COUNTIFS(Rohdaten!J:J,"2026",Rohdaten!K:K,4,Rohdaten!G:G,3)</f>
        <v>0</v>
      </c>
      <c r="K10" s="17">
        <f>COUNTIFS(Rohdaten!J:J,"2026",Rohdaten!K:K,4,Rohdaten!G:G,"&lt;3")</f>
        <v>0</v>
      </c>
      <c r="L10" s="24" t="e">
        <f>IF(C10=0,"-",COUNTIFS(Rohdaten!J:J,"2026",Rohdaten!K:K,4,Rohdaten!#REF!,"Ja")/C10)</f>
        <v>#REF!</v>
      </c>
    </row>
    <row r="11" spans="1:12" ht="15" customHeight="1" x14ac:dyDescent="0.25">
      <c r="A11" s="23" t="s">
        <v>208</v>
      </c>
      <c r="B11" s="26">
        <f>COUNTIFS(Rohdaten!J:J,"2026",Rohdaten!K:K,5)</f>
        <v>7</v>
      </c>
      <c r="C11" s="26">
        <f>COUNTIFS(Rohdaten!J:J,"2026",Rohdaten!K:K,5,Rohdaten!F:F,"Ja")</f>
        <v>3</v>
      </c>
      <c r="D11" s="27">
        <f t="shared" si="0"/>
        <v>0.42857142857142855</v>
      </c>
      <c r="E11" s="26">
        <f>COUNTIFS(Rohdaten!J:J,"2026",Rohdaten!K:K,5,Rohdaten!H:H,"Ja")</f>
        <v>7</v>
      </c>
      <c r="F11" s="27">
        <f t="shared" si="1"/>
        <v>1</v>
      </c>
      <c r="G11" s="28">
        <f>IFERROR(AVERAGEIFS(Rohdaten!G:G,Rohdaten!J:J,"2026",Rohdaten!K:K,5,Rohdaten!F:F,"Ja"),"-")</f>
        <v>5</v>
      </c>
      <c r="H11" s="26">
        <f>COUNTIFS(Rohdaten!J:J,"2026",Rohdaten!K:K,5,Rohdaten!G:G,5)</f>
        <v>3</v>
      </c>
      <c r="I11" s="26">
        <f>COUNTIFS(Rohdaten!J:J,"2026",Rohdaten!K:K,5,Rohdaten!G:G,4)</f>
        <v>0</v>
      </c>
      <c r="J11" s="26">
        <f>COUNTIFS(Rohdaten!J:J,"2026",Rohdaten!K:K,5,Rohdaten!G:G,3)</f>
        <v>0</v>
      </c>
      <c r="K11" s="26">
        <f>COUNTIFS(Rohdaten!J:J,"2026",Rohdaten!K:K,5,Rohdaten!G:G,"&lt;3")</f>
        <v>0</v>
      </c>
      <c r="L11" s="27" t="e">
        <f>IF(C11=0,"-",COUNTIFS(Rohdaten!J:J,"2026",Rohdaten!K:K,5,Rohdaten!#REF!,"Ja")/C11)</f>
        <v>#REF!</v>
      </c>
    </row>
    <row r="12" spans="1:12" ht="15" customHeight="1" x14ac:dyDescent="0.25">
      <c r="A12" s="23" t="s">
        <v>209</v>
      </c>
      <c r="B12" s="17">
        <f>COUNTIFS(Rohdaten!J:J,"2026",Rohdaten!K:K,6)</f>
        <v>13</v>
      </c>
      <c r="C12" s="17">
        <f>COUNTIFS(Rohdaten!J:J,"2026",Rohdaten!K:K,6,Rohdaten!F:F,"Ja")</f>
        <v>4</v>
      </c>
      <c r="D12" s="24">
        <f t="shared" si="0"/>
        <v>0.30769230769230771</v>
      </c>
      <c r="E12" s="17">
        <f>COUNTIFS(Rohdaten!J:J,"2026",Rohdaten!K:K,6,Rohdaten!H:H,"Ja")</f>
        <v>11</v>
      </c>
      <c r="F12" s="24">
        <f t="shared" si="1"/>
        <v>0.84615384615384615</v>
      </c>
      <c r="G12" s="25">
        <f>IFERROR(AVERAGEIFS(Rohdaten!G:G,Rohdaten!J:J,"2026",Rohdaten!K:K,6,Rohdaten!F:F,"Ja"),"-")</f>
        <v>4.75</v>
      </c>
      <c r="H12" s="17">
        <f>COUNTIFS(Rohdaten!J:J,"2026",Rohdaten!K:K,6,Rohdaten!G:G,5)</f>
        <v>3</v>
      </c>
      <c r="I12" s="17">
        <f>COUNTIFS(Rohdaten!J:J,"2026",Rohdaten!K:K,6,Rohdaten!G:G,4)</f>
        <v>1</v>
      </c>
      <c r="J12" s="17">
        <f>COUNTIFS(Rohdaten!J:J,"2026",Rohdaten!K:K,6,Rohdaten!G:G,3)</f>
        <v>0</v>
      </c>
      <c r="K12" s="17">
        <f>COUNTIFS(Rohdaten!J:J,"2026",Rohdaten!K:K,6,Rohdaten!G:G,"&lt;3")</f>
        <v>0</v>
      </c>
      <c r="L12" s="24" t="e">
        <f>IF(C12=0,"-",COUNTIFS(Rohdaten!J:J,"2026",Rohdaten!K:K,6,Rohdaten!#REF!,"Ja")/C12)</f>
        <v>#REF!</v>
      </c>
    </row>
    <row r="13" spans="1:12" ht="15" customHeight="1" x14ac:dyDescent="0.25">
      <c r="A13" s="23" t="s">
        <v>210</v>
      </c>
      <c r="B13" s="26">
        <f>COUNTIFS(Rohdaten!J:J,"2026",Rohdaten!K:K,7)</f>
        <v>3</v>
      </c>
      <c r="C13" s="26">
        <f>COUNTIFS(Rohdaten!J:J,"2026",Rohdaten!K:K,7,Rohdaten!F:F,"Ja")</f>
        <v>1</v>
      </c>
      <c r="D13" s="27">
        <f t="shared" si="0"/>
        <v>0.33333333333333331</v>
      </c>
      <c r="E13" s="26">
        <f>COUNTIFS(Rohdaten!J:J,"2026",Rohdaten!K:K,7,Rohdaten!H:H,"Ja")</f>
        <v>2</v>
      </c>
      <c r="F13" s="27">
        <f t="shared" si="1"/>
        <v>0.66666666666666663</v>
      </c>
      <c r="G13" s="28">
        <f>IFERROR(AVERAGEIFS(Rohdaten!G:G,Rohdaten!J:J,"2026",Rohdaten!K:K,7,Rohdaten!F:F,"Ja"),"-")</f>
        <v>5</v>
      </c>
      <c r="H13" s="26">
        <f>COUNTIFS(Rohdaten!J:J,"2026",Rohdaten!K:K,7,Rohdaten!G:G,5)</f>
        <v>1</v>
      </c>
      <c r="I13" s="26">
        <f>COUNTIFS(Rohdaten!J:J,"2026",Rohdaten!K:K,7,Rohdaten!G:G,4)</f>
        <v>0</v>
      </c>
      <c r="J13" s="26">
        <f>COUNTIFS(Rohdaten!J:J,"2026",Rohdaten!K:K,7,Rohdaten!G:G,3)</f>
        <v>0</v>
      </c>
      <c r="K13" s="26">
        <f>COUNTIFS(Rohdaten!J:J,"2026",Rohdaten!K:K,7,Rohdaten!G:G,"&lt;3")</f>
        <v>0</v>
      </c>
      <c r="L13" s="27" t="e">
        <f>IF(C13=0,"-",COUNTIFS(Rohdaten!J:J,"2026",Rohdaten!K:K,7,Rohdaten!#REF!,"Ja")/C13)</f>
        <v>#REF!</v>
      </c>
    </row>
    <row r="14" spans="1:12" ht="15" customHeight="1" x14ac:dyDescent="0.25">
      <c r="A14" s="23" t="s">
        <v>211</v>
      </c>
      <c r="B14" s="17">
        <f>COUNTIFS(Rohdaten!J:J,"2026",Rohdaten!K:K,8)</f>
        <v>0</v>
      </c>
      <c r="C14" s="17">
        <f>COUNTIFS(Rohdaten!J:J,"2026",Rohdaten!K:K,8,Rohdaten!F:F,"Ja")</f>
        <v>0</v>
      </c>
      <c r="D14" s="24" t="str">
        <f t="shared" si="0"/>
        <v>-</v>
      </c>
      <c r="E14" s="17">
        <f>COUNTIFS(Rohdaten!J:J,"2026",Rohdaten!K:K,8,Rohdaten!H:H,"Ja")</f>
        <v>0</v>
      </c>
      <c r="F14" s="24" t="str">
        <f t="shared" si="1"/>
        <v>-</v>
      </c>
      <c r="G14" s="25" t="str">
        <f>IFERROR(AVERAGEIFS(Rohdaten!G:G,Rohdaten!J:J,"2026",Rohdaten!K:K,8,Rohdaten!F:F,"Ja"),"-")</f>
        <v>-</v>
      </c>
      <c r="H14" s="17">
        <f>COUNTIFS(Rohdaten!J:J,"2026",Rohdaten!K:K,8,Rohdaten!G:G,5)</f>
        <v>0</v>
      </c>
      <c r="I14" s="17">
        <f>COUNTIFS(Rohdaten!J:J,"2026",Rohdaten!K:K,8,Rohdaten!G:G,4)</f>
        <v>0</v>
      </c>
      <c r="J14" s="17">
        <f>COUNTIFS(Rohdaten!J:J,"2026",Rohdaten!K:K,8,Rohdaten!G:G,3)</f>
        <v>0</v>
      </c>
      <c r="K14" s="17">
        <f>COUNTIFS(Rohdaten!J:J,"2026",Rohdaten!K:K,8,Rohdaten!G:G,"&lt;3")</f>
        <v>0</v>
      </c>
      <c r="L14" s="24" t="str">
        <f>IF(C14=0,"-",COUNTIFS(Rohdaten!J:J,"2026",Rohdaten!K:K,8,Rohdaten!#REF!,"Ja")/C14)</f>
        <v>-</v>
      </c>
    </row>
    <row r="15" spans="1:12" ht="15" customHeight="1" x14ac:dyDescent="0.25">
      <c r="A15" s="23" t="s">
        <v>212</v>
      </c>
      <c r="B15" s="26">
        <f>COUNTIFS(Rohdaten!J:J,"2026",Rohdaten!K:K,9)</f>
        <v>0</v>
      </c>
      <c r="C15" s="26">
        <f>COUNTIFS(Rohdaten!J:J,"2026",Rohdaten!K:K,9,Rohdaten!F:F,"Ja")</f>
        <v>0</v>
      </c>
      <c r="D15" s="27" t="str">
        <f t="shared" si="0"/>
        <v>-</v>
      </c>
      <c r="E15" s="26">
        <f>COUNTIFS(Rohdaten!J:J,"2026",Rohdaten!K:K,9,Rohdaten!H:H,"Ja")</f>
        <v>0</v>
      </c>
      <c r="F15" s="27" t="str">
        <f t="shared" si="1"/>
        <v>-</v>
      </c>
      <c r="G15" s="28" t="str">
        <f>IFERROR(AVERAGEIFS(Rohdaten!G:G,Rohdaten!J:J,"2026",Rohdaten!K:K,9,Rohdaten!F:F,"Ja"),"-")</f>
        <v>-</v>
      </c>
      <c r="H15" s="26">
        <f>COUNTIFS(Rohdaten!J:J,"2026",Rohdaten!K:K,9,Rohdaten!G:G,5)</f>
        <v>0</v>
      </c>
      <c r="I15" s="26">
        <f>COUNTIFS(Rohdaten!J:J,"2026",Rohdaten!K:K,9,Rohdaten!G:G,4)</f>
        <v>0</v>
      </c>
      <c r="J15" s="26">
        <f>COUNTIFS(Rohdaten!J:J,"2026",Rohdaten!K:K,9,Rohdaten!G:G,3)</f>
        <v>0</v>
      </c>
      <c r="K15" s="26">
        <f>COUNTIFS(Rohdaten!J:J,"2026",Rohdaten!K:K,9,Rohdaten!G:G,"&lt;3")</f>
        <v>0</v>
      </c>
      <c r="L15" s="27" t="str">
        <f>IF(C15=0,"-",COUNTIFS(Rohdaten!J:J,"2026",Rohdaten!K:K,9,Rohdaten!#REF!,"Ja")/C15)</f>
        <v>-</v>
      </c>
    </row>
    <row r="16" spans="1:12" ht="15" customHeight="1" x14ac:dyDescent="0.25">
      <c r="A16" s="23" t="s">
        <v>213</v>
      </c>
      <c r="B16" s="17">
        <f>COUNTIFS(Rohdaten!J:J,"2026",Rohdaten!K:K,10)</f>
        <v>0</v>
      </c>
      <c r="C16" s="17">
        <f>COUNTIFS(Rohdaten!J:J,"2026",Rohdaten!K:K,10,Rohdaten!F:F,"Ja")</f>
        <v>0</v>
      </c>
      <c r="D16" s="24" t="str">
        <f t="shared" si="0"/>
        <v>-</v>
      </c>
      <c r="E16" s="17">
        <f>COUNTIFS(Rohdaten!J:J,"2026",Rohdaten!K:K,10,Rohdaten!H:H,"Ja")</f>
        <v>0</v>
      </c>
      <c r="F16" s="24" t="str">
        <f t="shared" si="1"/>
        <v>-</v>
      </c>
      <c r="G16" s="25" t="str">
        <f>IFERROR(AVERAGEIFS(Rohdaten!G:G,Rohdaten!J:J,"2026",Rohdaten!K:K,10,Rohdaten!F:F,"Ja"),"-")</f>
        <v>-</v>
      </c>
      <c r="H16" s="17">
        <f>COUNTIFS(Rohdaten!J:J,"2026",Rohdaten!K:K,10,Rohdaten!G:G,5)</f>
        <v>0</v>
      </c>
      <c r="I16" s="17">
        <f>COUNTIFS(Rohdaten!J:J,"2026",Rohdaten!K:K,10,Rohdaten!G:G,4)</f>
        <v>0</v>
      </c>
      <c r="J16" s="17">
        <f>COUNTIFS(Rohdaten!J:J,"2026",Rohdaten!K:K,10,Rohdaten!G:G,3)</f>
        <v>0</v>
      </c>
      <c r="K16" s="17">
        <f>COUNTIFS(Rohdaten!J:J,"2026",Rohdaten!K:K,10,Rohdaten!G:G,"&lt;3")</f>
        <v>0</v>
      </c>
      <c r="L16" s="24" t="str">
        <f>IF(C16=0,"-",COUNTIFS(Rohdaten!J:J,"2026",Rohdaten!K:K,10,Rohdaten!#REF!,"Ja")/C16)</f>
        <v>-</v>
      </c>
    </row>
    <row r="17" spans="1:12" ht="15" customHeight="1" x14ac:dyDescent="0.25">
      <c r="A17" s="23" t="s">
        <v>214</v>
      </c>
      <c r="B17" s="26">
        <f>COUNTIFS(Rohdaten!J:J,"2026",Rohdaten!K:K,11)</f>
        <v>0</v>
      </c>
      <c r="C17" s="26">
        <f>COUNTIFS(Rohdaten!J:J,"2026",Rohdaten!K:K,11,Rohdaten!F:F,"Ja")</f>
        <v>0</v>
      </c>
      <c r="D17" s="27" t="str">
        <f t="shared" si="0"/>
        <v>-</v>
      </c>
      <c r="E17" s="26">
        <f>COUNTIFS(Rohdaten!J:J,"2026",Rohdaten!K:K,11,Rohdaten!H:H,"Ja")</f>
        <v>0</v>
      </c>
      <c r="F17" s="27" t="str">
        <f t="shared" si="1"/>
        <v>-</v>
      </c>
      <c r="G17" s="28" t="str">
        <f>IFERROR(AVERAGEIFS(Rohdaten!G:G,Rohdaten!J:J,"2026",Rohdaten!K:K,11,Rohdaten!F:F,"Ja"),"-")</f>
        <v>-</v>
      </c>
      <c r="H17" s="26">
        <f>COUNTIFS(Rohdaten!J:J,"2026",Rohdaten!K:K,11,Rohdaten!G:G,5)</f>
        <v>0</v>
      </c>
      <c r="I17" s="26">
        <f>COUNTIFS(Rohdaten!J:J,"2026",Rohdaten!K:K,11,Rohdaten!G:G,4)</f>
        <v>0</v>
      </c>
      <c r="J17" s="26">
        <f>COUNTIFS(Rohdaten!J:J,"2026",Rohdaten!K:K,11,Rohdaten!G:G,3)</f>
        <v>0</v>
      </c>
      <c r="K17" s="26">
        <f>COUNTIFS(Rohdaten!J:J,"2026",Rohdaten!K:K,11,Rohdaten!G:G,"&lt;3")</f>
        <v>0</v>
      </c>
      <c r="L17" s="27" t="str">
        <f>IF(C17=0,"-",COUNTIFS(Rohdaten!J:J,"2026",Rohdaten!K:K,11,Rohdaten!#REF!,"Ja")/C17)</f>
        <v>-</v>
      </c>
    </row>
    <row r="18" spans="1:12" ht="15" customHeight="1" x14ac:dyDescent="0.25">
      <c r="A18" s="23" t="s">
        <v>215</v>
      </c>
      <c r="B18" s="17">
        <f>COUNTIFS(Rohdaten!J:J,"2026",Rohdaten!K:K,12)</f>
        <v>0</v>
      </c>
      <c r="C18" s="17">
        <f>COUNTIFS(Rohdaten!J:J,"2026",Rohdaten!K:K,12,Rohdaten!F:F,"Ja")</f>
        <v>0</v>
      </c>
      <c r="D18" s="24" t="str">
        <f t="shared" si="0"/>
        <v>-</v>
      </c>
      <c r="E18" s="17">
        <f>COUNTIFS(Rohdaten!J:J,"2026",Rohdaten!K:K,12,Rohdaten!H:H,"Ja")</f>
        <v>0</v>
      </c>
      <c r="F18" s="24" t="str">
        <f t="shared" si="1"/>
        <v>-</v>
      </c>
      <c r="G18" s="25" t="str">
        <f>IFERROR(AVERAGEIFS(Rohdaten!G:G,Rohdaten!J:J,"2026",Rohdaten!K:K,12,Rohdaten!F:F,"Ja"),"-")</f>
        <v>-</v>
      </c>
      <c r="H18" s="17">
        <f>COUNTIFS(Rohdaten!J:J,"2026",Rohdaten!K:K,12,Rohdaten!G:G,5)</f>
        <v>0</v>
      </c>
      <c r="I18" s="17">
        <f>COUNTIFS(Rohdaten!J:J,"2026",Rohdaten!K:K,12,Rohdaten!G:G,4)</f>
        <v>0</v>
      </c>
      <c r="J18" s="17">
        <f>COUNTIFS(Rohdaten!J:J,"2026",Rohdaten!K:K,12,Rohdaten!G:G,3)</f>
        <v>0</v>
      </c>
      <c r="K18" s="17">
        <f>COUNTIFS(Rohdaten!J:J,"2026",Rohdaten!K:K,12,Rohdaten!G:G,"&lt;3")</f>
        <v>0</v>
      </c>
      <c r="L18" s="24" t="str">
        <f>IF(C18=0,"-",COUNTIFS(Rohdaten!J:J,"2026",Rohdaten!K:K,12,Rohdaten!#REF!,"Ja")/C18)</f>
        <v>-</v>
      </c>
    </row>
    <row r="19" spans="1:12" ht="15" customHeight="1" x14ac:dyDescent="0.25">
      <c r="A19" s="23" t="s">
        <v>216</v>
      </c>
      <c r="B19" s="26">
        <f>COUNTIFS(Rohdaten!J:J,"2027",Rohdaten!K:K,1)</f>
        <v>0</v>
      </c>
      <c r="C19" s="26">
        <f>COUNTIFS(Rohdaten!J:J,"2027",Rohdaten!K:K,1,Rohdaten!F:F,"Ja")</f>
        <v>0</v>
      </c>
      <c r="D19" s="27" t="str">
        <f t="shared" si="0"/>
        <v>-</v>
      </c>
      <c r="E19" s="26">
        <f>COUNTIFS(Rohdaten!J:J,"2027",Rohdaten!K:K,1,Rohdaten!H:H,"Ja")</f>
        <v>0</v>
      </c>
      <c r="F19" s="27" t="str">
        <f t="shared" si="1"/>
        <v>-</v>
      </c>
      <c r="G19" s="28" t="str">
        <f>IFERROR(AVERAGEIFS(Rohdaten!G:G,Rohdaten!J:J,"2027",Rohdaten!K:K,1,Rohdaten!F:F,"Ja"),"-")</f>
        <v>-</v>
      </c>
      <c r="H19" s="26">
        <f>COUNTIFS(Rohdaten!J:J,"2027",Rohdaten!K:K,1,Rohdaten!G:G,5)</f>
        <v>0</v>
      </c>
      <c r="I19" s="26">
        <f>COUNTIFS(Rohdaten!J:J,"2027",Rohdaten!K:K,1,Rohdaten!G:G,4)</f>
        <v>0</v>
      </c>
      <c r="J19" s="26">
        <f>COUNTIFS(Rohdaten!J:J,"2027",Rohdaten!K:K,1,Rohdaten!G:G,3)</f>
        <v>0</v>
      </c>
      <c r="K19" s="26">
        <f>COUNTIFS(Rohdaten!J:J,"2027",Rohdaten!K:K,1,Rohdaten!G:G,"&lt;3")</f>
        <v>0</v>
      </c>
      <c r="L19" s="27" t="str">
        <f>IF(C19=0,"-",COUNTIFS(Rohdaten!J:J,"2027",Rohdaten!K:K,1,Rohdaten!#REF!,"Ja")/C19)</f>
        <v>-</v>
      </c>
    </row>
    <row r="20" spans="1:12" ht="15" customHeight="1" x14ac:dyDescent="0.25">
      <c r="A20" s="23" t="s">
        <v>217</v>
      </c>
      <c r="B20" s="17">
        <f>COUNTIFS(Rohdaten!J:J,"2027",Rohdaten!K:K,2)</f>
        <v>0</v>
      </c>
      <c r="C20" s="17">
        <f>COUNTIFS(Rohdaten!J:J,"2027",Rohdaten!K:K,2,Rohdaten!F:F,"Ja")</f>
        <v>0</v>
      </c>
      <c r="D20" s="24" t="str">
        <f t="shared" si="0"/>
        <v>-</v>
      </c>
      <c r="E20" s="17">
        <f>COUNTIFS(Rohdaten!J:J,"2027",Rohdaten!K:K,2,Rohdaten!H:H,"Ja")</f>
        <v>0</v>
      </c>
      <c r="F20" s="24" t="str">
        <f t="shared" si="1"/>
        <v>-</v>
      </c>
      <c r="G20" s="25" t="str">
        <f>IFERROR(AVERAGEIFS(Rohdaten!G:G,Rohdaten!J:J,"2027",Rohdaten!K:K,2,Rohdaten!F:F,"Ja"),"-")</f>
        <v>-</v>
      </c>
      <c r="H20" s="17">
        <f>COUNTIFS(Rohdaten!J:J,"2027",Rohdaten!K:K,2,Rohdaten!G:G,5)</f>
        <v>0</v>
      </c>
      <c r="I20" s="17">
        <f>COUNTIFS(Rohdaten!J:J,"2027",Rohdaten!K:K,2,Rohdaten!G:G,4)</f>
        <v>0</v>
      </c>
      <c r="J20" s="17">
        <f>COUNTIFS(Rohdaten!J:J,"2027",Rohdaten!K:K,2,Rohdaten!G:G,3)</f>
        <v>0</v>
      </c>
      <c r="K20" s="17">
        <f>COUNTIFS(Rohdaten!J:J,"2027",Rohdaten!K:K,2,Rohdaten!G:G,"&lt;3")</f>
        <v>0</v>
      </c>
      <c r="L20" s="24" t="str">
        <f>IF(C20=0,"-",COUNTIFS(Rohdaten!J:J,"2027",Rohdaten!K:K,2,Rohdaten!#REF!,"Ja")/C20)</f>
        <v>-</v>
      </c>
    </row>
    <row r="21" spans="1:12" ht="15" customHeight="1" x14ac:dyDescent="0.25">
      <c r="A21" s="23" t="s">
        <v>218</v>
      </c>
      <c r="B21" s="26">
        <f>COUNTIFS(Rohdaten!J:J,"2027",Rohdaten!K:K,3)</f>
        <v>0</v>
      </c>
      <c r="C21" s="26">
        <f>COUNTIFS(Rohdaten!J:J,"2027",Rohdaten!K:K,3,Rohdaten!F:F,"Ja")</f>
        <v>0</v>
      </c>
      <c r="D21" s="27" t="str">
        <f t="shared" si="0"/>
        <v>-</v>
      </c>
      <c r="E21" s="26">
        <f>COUNTIFS(Rohdaten!J:J,"2027",Rohdaten!K:K,3,Rohdaten!H:H,"Ja")</f>
        <v>0</v>
      </c>
      <c r="F21" s="27" t="str">
        <f t="shared" si="1"/>
        <v>-</v>
      </c>
      <c r="G21" s="28" t="str">
        <f>IFERROR(AVERAGEIFS(Rohdaten!G:G,Rohdaten!J:J,"2027",Rohdaten!K:K,3,Rohdaten!F:F,"Ja"),"-")</f>
        <v>-</v>
      </c>
      <c r="H21" s="26">
        <f>COUNTIFS(Rohdaten!J:J,"2027",Rohdaten!K:K,3,Rohdaten!G:G,5)</f>
        <v>0</v>
      </c>
      <c r="I21" s="26">
        <f>COUNTIFS(Rohdaten!J:J,"2027",Rohdaten!K:K,3,Rohdaten!G:G,4)</f>
        <v>0</v>
      </c>
      <c r="J21" s="26">
        <f>COUNTIFS(Rohdaten!J:J,"2027",Rohdaten!K:K,3,Rohdaten!G:G,3)</f>
        <v>0</v>
      </c>
      <c r="K21" s="26">
        <f>COUNTIFS(Rohdaten!J:J,"2027",Rohdaten!K:K,3,Rohdaten!G:G,"&lt;3")</f>
        <v>0</v>
      </c>
      <c r="L21" s="27" t="str">
        <f>IF(C21=0,"-",COUNTIFS(Rohdaten!J:J,"2027",Rohdaten!K:K,3,Rohdaten!#REF!,"Ja")/C21)</f>
        <v>-</v>
      </c>
    </row>
    <row r="22" spans="1:12" ht="15" customHeight="1" x14ac:dyDescent="0.25">
      <c r="A22" s="23" t="s">
        <v>219</v>
      </c>
      <c r="B22" s="17">
        <f>COUNTIFS(Rohdaten!J:J,"2027",Rohdaten!K:K,4)</f>
        <v>0</v>
      </c>
      <c r="C22" s="17">
        <f>COUNTIFS(Rohdaten!J:J,"2027",Rohdaten!K:K,4,Rohdaten!F:F,"Ja")</f>
        <v>0</v>
      </c>
      <c r="D22" s="24" t="str">
        <f t="shared" si="0"/>
        <v>-</v>
      </c>
      <c r="E22" s="17">
        <f>COUNTIFS(Rohdaten!J:J,"2027",Rohdaten!K:K,4,Rohdaten!H:H,"Ja")</f>
        <v>0</v>
      </c>
      <c r="F22" s="24" t="str">
        <f t="shared" si="1"/>
        <v>-</v>
      </c>
      <c r="G22" s="25" t="str">
        <f>IFERROR(AVERAGEIFS(Rohdaten!G:G,Rohdaten!J:J,"2027",Rohdaten!K:K,4,Rohdaten!F:F,"Ja"),"-")</f>
        <v>-</v>
      </c>
      <c r="H22" s="17">
        <f>COUNTIFS(Rohdaten!J:J,"2027",Rohdaten!K:K,4,Rohdaten!G:G,5)</f>
        <v>0</v>
      </c>
      <c r="I22" s="17">
        <f>COUNTIFS(Rohdaten!J:J,"2027",Rohdaten!K:K,4,Rohdaten!G:G,4)</f>
        <v>0</v>
      </c>
      <c r="J22" s="17">
        <f>COUNTIFS(Rohdaten!J:J,"2027",Rohdaten!K:K,4,Rohdaten!G:G,3)</f>
        <v>0</v>
      </c>
      <c r="K22" s="17">
        <f>COUNTIFS(Rohdaten!J:J,"2027",Rohdaten!K:K,4,Rohdaten!G:G,"&lt;3")</f>
        <v>0</v>
      </c>
      <c r="L22" s="24" t="str">
        <f>IF(C22=0,"-",COUNTIFS(Rohdaten!J:J,"2027",Rohdaten!K:K,4,Rohdaten!#REF!,"Ja")/C22)</f>
        <v>-</v>
      </c>
    </row>
    <row r="23" spans="1:12" ht="15" customHeight="1" x14ac:dyDescent="0.25">
      <c r="A23" s="23" t="s">
        <v>220</v>
      </c>
      <c r="B23" s="26">
        <f>COUNTIFS(Rohdaten!J:J,"2027",Rohdaten!K:K,5)</f>
        <v>0</v>
      </c>
      <c r="C23" s="26">
        <f>COUNTIFS(Rohdaten!J:J,"2027",Rohdaten!K:K,5,Rohdaten!F:F,"Ja")</f>
        <v>0</v>
      </c>
      <c r="D23" s="27" t="str">
        <f t="shared" si="0"/>
        <v>-</v>
      </c>
      <c r="E23" s="26">
        <f>COUNTIFS(Rohdaten!J:J,"2027",Rohdaten!K:K,5,Rohdaten!H:H,"Ja")</f>
        <v>0</v>
      </c>
      <c r="F23" s="27" t="str">
        <f t="shared" si="1"/>
        <v>-</v>
      </c>
      <c r="G23" s="28" t="str">
        <f>IFERROR(AVERAGEIFS(Rohdaten!G:G,Rohdaten!J:J,"2027",Rohdaten!K:K,5,Rohdaten!F:F,"Ja"),"-")</f>
        <v>-</v>
      </c>
      <c r="H23" s="26">
        <f>COUNTIFS(Rohdaten!J:J,"2027",Rohdaten!K:K,5,Rohdaten!G:G,5)</f>
        <v>0</v>
      </c>
      <c r="I23" s="26">
        <f>COUNTIFS(Rohdaten!J:J,"2027",Rohdaten!K:K,5,Rohdaten!G:G,4)</f>
        <v>0</v>
      </c>
      <c r="J23" s="26">
        <f>COUNTIFS(Rohdaten!J:J,"2027",Rohdaten!K:K,5,Rohdaten!G:G,3)</f>
        <v>0</v>
      </c>
      <c r="K23" s="26">
        <f>COUNTIFS(Rohdaten!J:J,"2027",Rohdaten!K:K,5,Rohdaten!G:G,"&lt;3")</f>
        <v>0</v>
      </c>
      <c r="L23" s="27" t="str">
        <f>IF(C23=0,"-",COUNTIFS(Rohdaten!J:J,"2027",Rohdaten!K:K,5,Rohdaten!#REF!,"Ja")/C23)</f>
        <v>-</v>
      </c>
    </row>
    <row r="24" spans="1:12" ht="15" customHeight="1" x14ac:dyDescent="0.25">
      <c r="A24" s="23" t="s">
        <v>221</v>
      </c>
      <c r="B24" s="17">
        <f>COUNTIFS(Rohdaten!J:J,"2027",Rohdaten!K:K,6)</f>
        <v>0</v>
      </c>
      <c r="C24" s="17">
        <f>COUNTIFS(Rohdaten!J:J,"2027",Rohdaten!K:K,6,Rohdaten!F:F,"Ja")</f>
        <v>0</v>
      </c>
      <c r="D24" s="24" t="str">
        <f t="shared" si="0"/>
        <v>-</v>
      </c>
      <c r="E24" s="17">
        <f>COUNTIFS(Rohdaten!J:J,"2027",Rohdaten!K:K,6,Rohdaten!H:H,"Ja")</f>
        <v>0</v>
      </c>
      <c r="F24" s="24" t="str">
        <f t="shared" si="1"/>
        <v>-</v>
      </c>
      <c r="G24" s="25" t="str">
        <f>IFERROR(AVERAGEIFS(Rohdaten!G:G,Rohdaten!J:J,"2027",Rohdaten!K:K,6,Rohdaten!F:F,"Ja"),"-")</f>
        <v>-</v>
      </c>
      <c r="H24" s="17">
        <f>COUNTIFS(Rohdaten!J:J,"2027",Rohdaten!K:K,6,Rohdaten!G:G,5)</f>
        <v>0</v>
      </c>
      <c r="I24" s="17">
        <f>COUNTIFS(Rohdaten!J:J,"2027",Rohdaten!K:K,6,Rohdaten!G:G,4)</f>
        <v>0</v>
      </c>
      <c r="J24" s="17">
        <f>COUNTIFS(Rohdaten!J:J,"2027",Rohdaten!K:K,6,Rohdaten!G:G,3)</f>
        <v>0</v>
      </c>
      <c r="K24" s="17">
        <f>COUNTIFS(Rohdaten!J:J,"2027",Rohdaten!K:K,6,Rohdaten!G:G,"&lt;3")</f>
        <v>0</v>
      </c>
      <c r="L24" s="24" t="str">
        <f>IF(C24=0,"-",COUNTIFS(Rohdaten!J:J,"2027",Rohdaten!K:K,6,Rohdaten!#REF!,"Ja")/C24)</f>
        <v>-</v>
      </c>
    </row>
    <row r="25" spans="1:12" ht="15" customHeight="1" x14ac:dyDescent="0.25">
      <c r="A25" s="23" t="s">
        <v>222</v>
      </c>
      <c r="B25" s="26">
        <f>COUNTIFS(Rohdaten!J:J,"2027",Rohdaten!K:K,7)</f>
        <v>0</v>
      </c>
      <c r="C25" s="26">
        <f>COUNTIFS(Rohdaten!J:J,"2027",Rohdaten!K:K,7,Rohdaten!F:F,"Ja")</f>
        <v>0</v>
      </c>
      <c r="D25" s="27" t="str">
        <f t="shared" si="0"/>
        <v>-</v>
      </c>
      <c r="E25" s="26">
        <f>COUNTIFS(Rohdaten!J:J,"2027",Rohdaten!K:K,7,Rohdaten!H:H,"Ja")</f>
        <v>0</v>
      </c>
      <c r="F25" s="27" t="str">
        <f t="shared" si="1"/>
        <v>-</v>
      </c>
      <c r="G25" s="28" t="str">
        <f>IFERROR(AVERAGEIFS(Rohdaten!G:G,Rohdaten!J:J,"2027",Rohdaten!K:K,7,Rohdaten!F:F,"Ja"),"-")</f>
        <v>-</v>
      </c>
      <c r="H25" s="26">
        <f>COUNTIFS(Rohdaten!J:J,"2027",Rohdaten!K:K,7,Rohdaten!G:G,5)</f>
        <v>0</v>
      </c>
      <c r="I25" s="26">
        <f>COUNTIFS(Rohdaten!J:J,"2027",Rohdaten!K:K,7,Rohdaten!G:G,4)</f>
        <v>0</v>
      </c>
      <c r="J25" s="26">
        <f>COUNTIFS(Rohdaten!J:J,"2027",Rohdaten!K:K,7,Rohdaten!G:G,3)</f>
        <v>0</v>
      </c>
      <c r="K25" s="26">
        <f>COUNTIFS(Rohdaten!J:J,"2027",Rohdaten!K:K,7,Rohdaten!G:G,"&lt;3")</f>
        <v>0</v>
      </c>
      <c r="L25" s="27" t="str">
        <f>IF(C25=0,"-",COUNTIFS(Rohdaten!J:J,"2027",Rohdaten!K:K,7,Rohdaten!#REF!,"Ja")/C25)</f>
        <v>-</v>
      </c>
    </row>
    <row r="26" spans="1:12" ht="15" customHeight="1" x14ac:dyDescent="0.25">
      <c r="A26" s="23" t="s">
        <v>223</v>
      </c>
      <c r="B26" s="17">
        <f>COUNTIFS(Rohdaten!J:J,"2027",Rohdaten!K:K,8)</f>
        <v>0</v>
      </c>
      <c r="C26" s="17">
        <f>COUNTIFS(Rohdaten!J:J,"2027",Rohdaten!K:K,8,Rohdaten!F:F,"Ja")</f>
        <v>0</v>
      </c>
      <c r="D26" s="24" t="str">
        <f t="shared" si="0"/>
        <v>-</v>
      </c>
      <c r="E26" s="17">
        <f>COUNTIFS(Rohdaten!J:J,"2027",Rohdaten!K:K,8,Rohdaten!H:H,"Ja")</f>
        <v>0</v>
      </c>
      <c r="F26" s="24" t="str">
        <f t="shared" si="1"/>
        <v>-</v>
      </c>
      <c r="G26" s="25" t="str">
        <f>IFERROR(AVERAGEIFS(Rohdaten!G:G,Rohdaten!J:J,"2027",Rohdaten!K:K,8,Rohdaten!F:F,"Ja"),"-")</f>
        <v>-</v>
      </c>
      <c r="H26" s="17">
        <f>COUNTIFS(Rohdaten!J:J,"2027",Rohdaten!K:K,8,Rohdaten!G:G,5)</f>
        <v>0</v>
      </c>
      <c r="I26" s="17">
        <f>COUNTIFS(Rohdaten!J:J,"2027",Rohdaten!K:K,8,Rohdaten!G:G,4)</f>
        <v>0</v>
      </c>
      <c r="J26" s="17">
        <f>COUNTIFS(Rohdaten!J:J,"2027",Rohdaten!K:K,8,Rohdaten!G:G,3)</f>
        <v>0</v>
      </c>
      <c r="K26" s="17">
        <f>COUNTIFS(Rohdaten!J:J,"2027",Rohdaten!K:K,8,Rohdaten!G:G,"&lt;3")</f>
        <v>0</v>
      </c>
      <c r="L26" s="24" t="str">
        <f>IF(C26=0,"-",COUNTIFS(Rohdaten!J:J,"2027",Rohdaten!K:K,8,Rohdaten!#REF!,"Ja")/C26)</f>
        <v>-</v>
      </c>
    </row>
    <row r="27" spans="1:12" ht="15" customHeight="1" x14ac:dyDescent="0.25">
      <c r="A27" s="23" t="s">
        <v>224</v>
      </c>
      <c r="B27" s="26">
        <f>COUNTIFS(Rohdaten!J:J,"2027",Rohdaten!K:K,9)</f>
        <v>0</v>
      </c>
      <c r="C27" s="26">
        <f>COUNTIFS(Rohdaten!J:J,"2027",Rohdaten!K:K,9,Rohdaten!F:F,"Ja")</f>
        <v>0</v>
      </c>
      <c r="D27" s="27" t="str">
        <f t="shared" si="0"/>
        <v>-</v>
      </c>
      <c r="E27" s="26">
        <f>COUNTIFS(Rohdaten!J:J,"2027",Rohdaten!K:K,9,Rohdaten!H:H,"Ja")</f>
        <v>0</v>
      </c>
      <c r="F27" s="27" t="str">
        <f t="shared" si="1"/>
        <v>-</v>
      </c>
      <c r="G27" s="28" t="str">
        <f>IFERROR(AVERAGEIFS(Rohdaten!G:G,Rohdaten!J:J,"2027",Rohdaten!K:K,9,Rohdaten!F:F,"Ja"),"-")</f>
        <v>-</v>
      </c>
      <c r="H27" s="26">
        <f>COUNTIFS(Rohdaten!J:J,"2027",Rohdaten!K:K,9,Rohdaten!G:G,5)</f>
        <v>0</v>
      </c>
      <c r="I27" s="26">
        <f>COUNTIFS(Rohdaten!J:J,"2027",Rohdaten!K:K,9,Rohdaten!G:G,4)</f>
        <v>0</v>
      </c>
      <c r="J27" s="26">
        <f>COUNTIFS(Rohdaten!J:J,"2027",Rohdaten!K:K,9,Rohdaten!G:G,3)</f>
        <v>0</v>
      </c>
      <c r="K27" s="26">
        <f>COUNTIFS(Rohdaten!J:J,"2027",Rohdaten!K:K,9,Rohdaten!G:G,"&lt;3")</f>
        <v>0</v>
      </c>
      <c r="L27" s="27" t="str">
        <f>IF(C27=0,"-",COUNTIFS(Rohdaten!J:J,"2027",Rohdaten!K:K,9,Rohdaten!#REF!,"Ja")/C27)</f>
        <v>-</v>
      </c>
    </row>
    <row r="28" spans="1:12" ht="15" customHeight="1" x14ac:dyDescent="0.25">
      <c r="A28" s="23" t="s">
        <v>225</v>
      </c>
      <c r="B28" s="17">
        <f>COUNTIFS(Rohdaten!J:J,"2027",Rohdaten!K:K,10)</f>
        <v>0</v>
      </c>
      <c r="C28" s="17">
        <f>COUNTIFS(Rohdaten!J:J,"2027",Rohdaten!K:K,10,Rohdaten!F:F,"Ja")</f>
        <v>0</v>
      </c>
      <c r="D28" s="24" t="str">
        <f t="shared" si="0"/>
        <v>-</v>
      </c>
      <c r="E28" s="17">
        <f>COUNTIFS(Rohdaten!J:J,"2027",Rohdaten!K:K,10,Rohdaten!H:H,"Ja")</f>
        <v>0</v>
      </c>
      <c r="F28" s="24" t="str">
        <f t="shared" si="1"/>
        <v>-</v>
      </c>
      <c r="G28" s="25" t="str">
        <f>IFERROR(AVERAGEIFS(Rohdaten!G:G,Rohdaten!J:J,"2027",Rohdaten!K:K,10,Rohdaten!F:F,"Ja"),"-")</f>
        <v>-</v>
      </c>
      <c r="H28" s="17">
        <f>COUNTIFS(Rohdaten!J:J,"2027",Rohdaten!K:K,10,Rohdaten!G:G,5)</f>
        <v>0</v>
      </c>
      <c r="I28" s="17">
        <f>COUNTIFS(Rohdaten!J:J,"2027",Rohdaten!K:K,10,Rohdaten!G:G,4)</f>
        <v>0</v>
      </c>
      <c r="J28" s="17">
        <f>COUNTIFS(Rohdaten!J:J,"2027",Rohdaten!K:K,10,Rohdaten!G:G,3)</f>
        <v>0</v>
      </c>
      <c r="K28" s="17">
        <f>COUNTIFS(Rohdaten!J:J,"2027",Rohdaten!K:K,10,Rohdaten!G:G,"&lt;3")</f>
        <v>0</v>
      </c>
      <c r="L28" s="24" t="str">
        <f>IF(C28=0,"-",COUNTIFS(Rohdaten!J:J,"2027",Rohdaten!K:K,10,Rohdaten!#REF!,"Ja")/C28)</f>
        <v>-</v>
      </c>
    </row>
    <row r="29" spans="1:12" ht="15" customHeight="1" x14ac:dyDescent="0.25">
      <c r="A29" s="23" t="s">
        <v>226</v>
      </c>
      <c r="B29" s="26">
        <f>COUNTIFS(Rohdaten!J:J,"2027",Rohdaten!K:K,11)</f>
        <v>0</v>
      </c>
      <c r="C29" s="26">
        <f>COUNTIFS(Rohdaten!J:J,"2027",Rohdaten!K:K,11,Rohdaten!F:F,"Ja")</f>
        <v>0</v>
      </c>
      <c r="D29" s="27" t="str">
        <f t="shared" si="0"/>
        <v>-</v>
      </c>
      <c r="E29" s="26">
        <f>COUNTIFS(Rohdaten!J:J,"2027",Rohdaten!K:K,11,Rohdaten!H:H,"Ja")</f>
        <v>0</v>
      </c>
      <c r="F29" s="27" t="str">
        <f t="shared" si="1"/>
        <v>-</v>
      </c>
      <c r="G29" s="28" t="str">
        <f>IFERROR(AVERAGEIFS(Rohdaten!G:G,Rohdaten!J:J,"2027",Rohdaten!K:K,11,Rohdaten!F:F,"Ja"),"-")</f>
        <v>-</v>
      </c>
      <c r="H29" s="26">
        <f>COUNTIFS(Rohdaten!J:J,"2027",Rohdaten!K:K,11,Rohdaten!G:G,5)</f>
        <v>0</v>
      </c>
      <c r="I29" s="26">
        <f>COUNTIFS(Rohdaten!J:J,"2027",Rohdaten!K:K,11,Rohdaten!G:G,4)</f>
        <v>0</v>
      </c>
      <c r="J29" s="26">
        <f>COUNTIFS(Rohdaten!J:J,"2027",Rohdaten!K:K,11,Rohdaten!G:G,3)</f>
        <v>0</v>
      </c>
      <c r="K29" s="26">
        <f>COUNTIFS(Rohdaten!J:J,"2027",Rohdaten!K:K,11,Rohdaten!G:G,"&lt;3")</f>
        <v>0</v>
      </c>
      <c r="L29" s="27" t="str">
        <f>IF(C29=0,"-",COUNTIFS(Rohdaten!J:J,"2027",Rohdaten!K:K,11,Rohdaten!#REF!,"Ja")/C29)</f>
        <v>-</v>
      </c>
    </row>
    <row r="30" spans="1:12" ht="15" customHeight="1" x14ac:dyDescent="0.25">
      <c r="A30" s="23" t="s">
        <v>227</v>
      </c>
      <c r="B30" s="17">
        <f>COUNTIFS(Rohdaten!J:J,"2027",Rohdaten!K:K,12)</f>
        <v>0</v>
      </c>
      <c r="C30" s="17">
        <f>COUNTIFS(Rohdaten!J:J,"2027",Rohdaten!K:K,12,Rohdaten!F:F,"Ja")</f>
        <v>0</v>
      </c>
      <c r="D30" s="24" t="str">
        <f t="shared" si="0"/>
        <v>-</v>
      </c>
      <c r="E30" s="17">
        <f>COUNTIFS(Rohdaten!J:J,"2027",Rohdaten!K:K,12,Rohdaten!H:H,"Ja")</f>
        <v>0</v>
      </c>
      <c r="F30" s="24" t="str">
        <f t="shared" si="1"/>
        <v>-</v>
      </c>
      <c r="G30" s="25" t="str">
        <f>IFERROR(AVERAGEIFS(Rohdaten!G:G,Rohdaten!J:J,"2027",Rohdaten!K:K,12,Rohdaten!F:F,"Ja"),"-")</f>
        <v>-</v>
      </c>
      <c r="H30" s="17">
        <f>COUNTIFS(Rohdaten!J:J,"2027",Rohdaten!K:K,12,Rohdaten!G:G,5)</f>
        <v>0</v>
      </c>
      <c r="I30" s="17">
        <f>COUNTIFS(Rohdaten!J:J,"2027",Rohdaten!K:K,12,Rohdaten!G:G,4)</f>
        <v>0</v>
      </c>
      <c r="J30" s="17">
        <f>COUNTIFS(Rohdaten!J:J,"2027",Rohdaten!K:K,12,Rohdaten!G:G,3)</f>
        <v>0</v>
      </c>
      <c r="K30" s="17">
        <f>COUNTIFS(Rohdaten!J:J,"2027",Rohdaten!K:K,12,Rohdaten!G:G,"&lt;3")</f>
        <v>0</v>
      </c>
      <c r="L30" s="24" t="str">
        <f>IF(C30=0,"-",COUNTIFS(Rohdaten!J:J,"2027",Rohdaten!K:K,12,Rohdaten!#REF!,"Ja")/C30)</f>
        <v>-</v>
      </c>
    </row>
    <row r="31" spans="1:12" ht="15" customHeight="1" x14ac:dyDescent="0.25">
      <c r="A31" s="29" t="s">
        <v>228</v>
      </c>
      <c r="B31" s="30">
        <f>SUM(B4:B30)</f>
        <v>87</v>
      </c>
      <c r="C31" s="30">
        <f>SUM(C4:C30)</f>
        <v>52</v>
      </c>
      <c r="D31" s="31">
        <f t="shared" si="0"/>
        <v>0.5977011494252874</v>
      </c>
      <c r="E31" s="30">
        <f>SUM(E4:E30)</f>
        <v>73</v>
      </c>
      <c r="F31" s="31">
        <f t="shared" si="1"/>
        <v>0.83908045977011492</v>
      </c>
      <c r="G31" s="32">
        <f>IFERROR(AVERAGEIF(Rohdaten!F:F,"Ja",Rohdaten!G:G),"-")</f>
        <v>4.9622641509433958</v>
      </c>
      <c r="H31" s="30">
        <f>SUM(H4:H30)</f>
        <v>52</v>
      </c>
      <c r="I31" s="30">
        <f>SUM(I4:I30)</f>
        <v>2</v>
      </c>
      <c r="J31" s="30">
        <f>SUM(J4:J30)</f>
        <v>0</v>
      </c>
      <c r="K31" s="30">
        <f>SUM(K4:K30)</f>
        <v>0</v>
      </c>
      <c r="L31" s="31" t="e">
        <f>IF(C31=0,"-",COUNTIF(Rohdaten!#REF!,"Ja")/C31)</f>
        <v>#REF!</v>
      </c>
    </row>
  </sheetData>
  <mergeCells count="2">
    <mergeCell ref="A1:L1"/>
    <mergeCell ref="A2:L2"/>
  </mergeCells>
  <conditionalFormatting sqref="D4:D30">
    <cfRule type="cellIs" dxfId="11" priority="2" operator="greaterThanOrEqual">
      <formula>0.8</formula>
    </cfRule>
    <cfRule type="cellIs" dxfId="10" priority="3" operator="between">
      <formula>0.5</formula>
      <formula>0.799</formula>
    </cfRule>
    <cfRule type="cellIs" dxfId="9" priority="4" operator="lessThan">
      <formula>0.5</formula>
    </cfRule>
  </conditionalFormatting>
  <conditionalFormatting sqref="F4:F30">
    <cfRule type="cellIs" dxfId="8" priority="5" operator="greaterThanOrEqual">
      <formula>0.8</formula>
    </cfRule>
    <cfRule type="cellIs" dxfId="7" priority="6" operator="between">
      <formula>0.5</formula>
      <formula>0.799</formula>
    </cfRule>
    <cfRule type="cellIs" dxfId="6" priority="7" operator="lessThan">
      <formula>0.5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A1:G12"/>
  <sheetViews>
    <sheetView zoomScaleNormal="100" workbookViewId="0">
      <selection sqref="A1:G1"/>
    </sheetView>
  </sheetViews>
  <sheetFormatPr baseColWidth="10" defaultColWidth="8.7109375" defaultRowHeight="15" x14ac:dyDescent="0.25"/>
  <cols>
    <col min="1" max="1" width="28" customWidth="1"/>
    <col min="2" max="6" width="14" customWidth="1"/>
    <col min="7" max="7" width="12" customWidth="1"/>
  </cols>
  <sheetData>
    <row r="1" spans="1:7" ht="34.5" customHeight="1" x14ac:dyDescent="0.25">
      <c r="A1" s="53" t="s">
        <v>229</v>
      </c>
      <c r="B1" s="53"/>
      <c r="C1" s="53"/>
      <c r="D1" s="53"/>
      <c r="E1" s="53"/>
      <c r="F1" s="53"/>
      <c r="G1" s="53"/>
    </row>
    <row r="3" spans="1:7" ht="39.75" customHeight="1" x14ac:dyDescent="0.25">
      <c r="A3" s="15" t="s">
        <v>24</v>
      </c>
      <c r="B3" s="15" t="s">
        <v>190</v>
      </c>
      <c r="C3" s="15" t="s">
        <v>230</v>
      </c>
      <c r="D3" s="15" t="s">
        <v>231</v>
      </c>
      <c r="E3" s="15" t="s">
        <v>232</v>
      </c>
      <c r="F3" s="15" t="s">
        <v>194</v>
      </c>
      <c r="G3" s="15" t="s">
        <v>5</v>
      </c>
    </row>
    <row r="4" spans="1:7" ht="15" customHeight="1" x14ac:dyDescent="0.25">
      <c r="A4" s="33" t="s">
        <v>30</v>
      </c>
      <c r="B4" s="17">
        <f>COUNTIF(Rohdaten!E:E,A4)</f>
        <v>28</v>
      </c>
      <c r="C4" s="17">
        <f>COUNTIFS(Rohdaten!E:E,A4,Rohdaten!F:F,"Ja")</f>
        <v>18</v>
      </c>
      <c r="D4" s="24">
        <f t="shared" ref="D4:D12" si="0">IF(B4=0,"-",C4/B4)</f>
        <v>0.6428571428571429</v>
      </c>
      <c r="E4" s="17">
        <f>COUNTIFS(Rohdaten!E:E,A4,Rohdaten!H:H,"Ja")</f>
        <v>22</v>
      </c>
      <c r="F4" s="24">
        <f t="shared" ref="F4:F12" si="1">IF(B4=0,"-",E4/B4)</f>
        <v>0.7857142857142857</v>
      </c>
      <c r="G4" s="25">
        <f>IFERROR(AVERAGEIFS(Rohdaten!G:G,Rohdaten!E:E,A4,Rohdaten!F:F,"Ja"),"-")</f>
        <v>4.8888888888888893</v>
      </c>
    </row>
    <row r="5" spans="1:7" ht="15" customHeight="1" x14ac:dyDescent="0.25">
      <c r="A5" s="33" t="s">
        <v>31</v>
      </c>
      <c r="B5" s="26">
        <f>COUNTIF(Rohdaten!E:E,A5)</f>
        <v>21</v>
      </c>
      <c r="C5" s="26">
        <f>COUNTIFS(Rohdaten!E:E,A5,Rohdaten!F:F,"Ja")</f>
        <v>7</v>
      </c>
      <c r="D5" s="27">
        <f t="shared" si="0"/>
        <v>0.33333333333333331</v>
      </c>
      <c r="E5" s="26">
        <f>COUNTIFS(Rohdaten!E:E,A5,Rohdaten!H:H,"Ja")</f>
        <v>14</v>
      </c>
      <c r="F5" s="27">
        <f t="shared" si="1"/>
        <v>0.66666666666666663</v>
      </c>
      <c r="G5" s="28">
        <f>IFERROR(AVERAGEIFS(Rohdaten!G:G,Rohdaten!E:E,A5,Rohdaten!F:F,"Ja"),"-")</f>
        <v>5</v>
      </c>
    </row>
    <row r="6" spans="1:7" ht="15" customHeight="1" x14ac:dyDescent="0.25">
      <c r="A6" s="33" t="s">
        <v>32</v>
      </c>
      <c r="B6" s="17">
        <f>COUNTIF(Rohdaten!E:E,A6)</f>
        <v>13</v>
      </c>
      <c r="C6" s="17">
        <f>COUNTIFS(Rohdaten!E:E,A6,Rohdaten!F:F,"Ja")</f>
        <v>8</v>
      </c>
      <c r="D6" s="24">
        <f t="shared" si="0"/>
        <v>0.61538461538461542</v>
      </c>
      <c r="E6" s="17">
        <f>COUNTIFS(Rohdaten!E:E,A6,Rohdaten!H:H,"Ja")</f>
        <v>12</v>
      </c>
      <c r="F6" s="24">
        <f t="shared" si="1"/>
        <v>0.92307692307692313</v>
      </c>
      <c r="G6" s="25">
        <f>IFERROR(AVERAGEIFS(Rohdaten!G:G,Rohdaten!E:E,A6,Rohdaten!F:F,"Ja"),"-")</f>
        <v>5</v>
      </c>
    </row>
    <row r="7" spans="1:7" ht="15" customHeight="1" x14ac:dyDescent="0.25">
      <c r="A7" s="33" t="s">
        <v>33</v>
      </c>
      <c r="B7" s="26">
        <f>COUNTIF(Rohdaten!E:E,A7)</f>
        <v>3</v>
      </c>
      <c r="C7" s="26">
        <f>COUNTIFS(Rohdaten!E:E,A7,Rohdaten!F:F,"Ja")</f>
        <v>3</v>
      </c>
      <c r="D7" s="27">
        <f t="shared" si="0"/>
        <v>1</v>
      </c>
      <c r="E7" s="26">
        <f>COUNTIFS(Rohdaten!E:E,A7,Rohdaten!H:H,"Ja")</f>
        <v>3</v>
      </c>
      <c r="F7" s="27">
        <f t="shared" si="1"/>
        <v>1</v>
      </c>
      <c r="G7" s="28">
        <f>IFERROR(AVERAGEIFS(Rohdaten!G:G,Rohdaten!E:E,A7,Rohdaten!F:F,"Ja"),"-")</f>
        <v>5</v>
      </c>
    </row>
    <row r="8" spans="1:7" ht="15" customHeight="1" x14ac:dyDescent="0.25">
      <c r="A8" s="33" t="s">
        <v>34</v>
      </c>
      <c r="B8" s="17">
        <f>COUNTIF(Rohdaten!E:E,A8)</f>
        <v>9</v>
      </c>
      <c r="C8" s="17">
        <f>COUNTIFS(Rohdaten!E:E,A8,Rohdaten!F:F,"Ja")</f>
        <v>6</v>
      </c>
      <c r="D8" s="24">
        <f t="shared" si="0"/>
        <v>0.66666666666666663</v>
      </c>
      <c r="E8" s="17">
        <f>COUNTIFS(Rohdaten!E:E,A8,Rohdaten!H:H,"Ja")</f>
        <v>8</v>
      </c>
      <c r="F8" s="24">
        <f t="shared" si="1"/>
        <v>0.88888888888888884</v>
      </c>
      <c r="G8" s="25">
        <f>IFERROR(AVERAGEIFS(Rohdaten!G:G,Rohdaten!E:E,A8,Rohdaten!F:F,"Ja"),"-")</f>
        <v>5</v>
      </c>
    </row>
    <row r="9" spans="1:7" ht="15" customHeight="1" x14ac:dyDescent="0.25">
      <c r="A9" s="33" t="s">
        <v>35</v>
      </c>
      <c r="B9" s="26">
        <f>COUNTIF(Rohdaten!E:E,A9)</f>
        <v>4</v>
      </c>
      <c r="C9" s="26">
        <f>COUNTIFS(Rohdaten!E:E,A9,Rohdaten!F:F,"Ja")</f>
        <v>4</v>
      </c>
      <c r="D9" s="27">
        <f t="shared" si="0"/>
        <v>1</v>
      </c>
      <c r="E9" s="26">
        <f>COUNTIFS(Rohdaten!E:E,A9,Rohdaten!H:H,"Ja")</f>
        <v>4</v>
      </c>
      <c r="F9" s="27">
        <f t="shared" si="1"/>
        <v>1</v>
      </c>
      <c r="G9" s="28">
        <f>IFERROR(AVERAGEIFS(Rohdaten!G:G,Rohdaten!E:E,A9,Rohdaten!F:F,"Ja"),"-")</f>
        <v>5</v>
      </c>
    </row>
    <row r="10" spans="1:7" ht="15" customHeight="1" x14ac:dyDescent="0.25">
      <c r="A10" s="33" t="s">
        <v>36</v>
      </c>
      <c r="B10" s="17">
        <f>COUNTIF(Rohdaten!E:E,A10)</f>
        <v>1</v>
      </c>
      <c r="C10" s="17">
        <f>COUNTIFS(Rohdaten!E:E,A10,Rohdaten!F:F,"Ja")</f>
        <v>0</v>
      </c>
      <c r="D10" s="24">
        <f t="shared" si="0"/>
        <v>0</v>
      </c>
      <c r="E10" s="17">
        <f>COUNTIFS(Rohdaten!E:E,A10,Rohdaten!H:H,"Ja")</f>
        <v>1</v>
      </c>
      <c r="F10" s="24">
        <f t="shared" si="1"/>
        <v>1</v>
      </c>
      <c r="G10" s="25" t="str">
        <f>IFERROR(AVERAGEIFS(Rohdaten!G:G,Rohdaten!E:E,A10,Rohdaten!F:F,"Ja"),"-")</f>
        <v>-</v>
      </c>
    </row>
    <row r="11" spans="1:7" ht="15" customHeight="1" x14ac:dyDescent="0.25">
      <c r="A11" s="33" t="s">
        <v>37</v>
      </c>
      <c r="B11" s="26">
        <f>COUNTIF(Rohdaten!E:E,A11)</f>
        <v>3</v>
      </c>
      <c r="C11" s="26">
        <f>COUNTIFS(Rohdaten!E:E,A11,Rohdaten!F:F,"Ja")</f>
        <v>3</v>
      </c>
      <c r="D11" s="27">
        <f t="shared" si="0"/>
        <v>1</v>
      </c>
      <c r="E11" s="26">
        <f>COUNTIFS(Rohdaten!E:E,A11,Rohdaten!H:H,"Ja")</f>
        <v>3</v>
      </c>
      <c r="F11" s="27">
        <f t="shared" si="1"/>
        <v>1</v>
      </c>
      <c r="G11" s="28">
        <f>IFERROR(AVERAGEIFS(Rohdaten!G:G,Rohdaten!E:E,A11,Rohdaten!F:F,"Ja"),"-")</f>
        <v>5</v>
      </c>
    </row>
    <row r="12" spans="1:7" ht="15" customHeight="1" x14ac:dyDescent="0.25">
      <c r="A12" s="33" t="s">
        <v>38</v>
      </c>
      <c r="B12" s="17">
        <f>COUNTIF(Rohdaten!E:E,A12)</f>
        <v>6</v>
      </c>
      <c r="C12" s="17">
        <f>COUNTIFS(Rohdaten!E:E,A12,Rohdaten!F:F,"Ja")</f>
        <v>4</v>
      </c>
      <c r="D12" s="24">
        <f t="shared" si="0"/>
        <v>0.66666666666666663</v>
      </c>
      <c r="E12" s="17">
        <f>COUNTIFS(Rohdaten!E:E,A12,Rohdaten!H:H,"Ja")</f>
        <v>6</v>
      </c>
      <c r="F12" s="24">
        <f t="shared" si="1"/>
        <v>1</v>
      </c>
      <c r="G12" s="25">
        <f>IFERROR(AVERAGEIFS(Rohdaten!G:G,Rohdaten!E:E,A12,Rohdaten!F:F,"Ja"),"-")</f>
        <v>5</v>
      </c>
    </row>
  </sheetData>
  <mergeCells count="1">
    <mergeCell ref="A1:G1"/>
  </mergeCells>
  <conditionalFormatting sqref="D4:D12">
    <cfRule type="cellIs" dxfId="5" priority="2" operator="greaterThanOrEqual">
      <formula>0.8</formula>
    </cfRule>
    <cfRule type="cellIs" dxfId="4" priority="3" operator="between">
      <formula>0.5</formula>
      <formula>0.799</formula>
    </cfRule>
    <cfRule type="cellIs" dxfId="3" priority="4" operator="lessThan">
      <formula>0.5</formula>
    </cfRule>
  </conditionalFormatting>
  <conditionalFormatting sqref="F4:F12">
    <cfRule type="cellIs" dxfId="2" priority="5" operator="greaterThanOrEqual">
      <formula>0.8</formula>
    </cfRule>
    <cfRule type="cellIs" dxfId="1" priority="6" operator="between">
      <formula>0.5</formula>
      <formula>0.799</formula>
    </cfRule>
    <cfRule type="cellIs" dxfId="0" priority="7" operator="lessThan">
      <formula>0.5</formula>
    </cfRule>
  </conditionalFormatting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Dashboard</vt:lpstr>
      <vt:lpstr>Rohdaten</vt:lpstr>
      <vt:lpstr>Monatsauswertung</vt:lpstr>
      <vt:lpstr>Segmentanalyse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Katja Laub</cp:lastModifiedBy>
  <cp:revision>0</cp:revision>
  <dcterms:created xsi:type="dcterms:W3CDTF">2026-02-24T09:40:30Z</dcterms:created>
  <dcterms:modified xsi:type="dcterms:W3CDTF">2026-07-07T13:04:45Z</dcterms:modified>
  <dc:language>en-US</dc:language>
</cp:coreProperties>
</file>