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veseli\Nextcloud\task-team-share\KPIs\Partner_und_Friends_KPIs\Rohdaten\"/>
    </mc:Choice>
  </mc:AlternateContent>
  <xr:revisionPtr revIDLastSave="0" documentId="13_ncr:1_{D7B28E74-66B8-46C4-9D3F-39DCD9EFE24D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Dashboard" sheetId="1" r:id="rId1"/>
    <sheet name="Vertragseingänge" sheetId="2" r:id="rId2"/>
    <sheet name="Leads Rohdaten" sheetId="3" r:id="rId3"/>
    <sheet name="Steuerung" sheetId="4" r:id="rId4"/>
  </sheets>
  <definedNames>
    <definedName name="_xlnm._FilterDatabase" localSheetId="2" hidden="1">'Leads Rohdaten'!$A$3:$H$504</definedName>
    <definedName name="_xlnm._FilterDatabase" localSheetId="1" hidden="1">Vertragseingänge!$A$3:$K$123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04" i="3" l="1"/>
  <c r="G504" i="3"/>
  <c r="P90" i="1"/>
  <c r="N90" i="1"/>
  <c r="M90" i="1"/>
  <c r="O90" i="1" s="1"/>
  <c r="P89" i="1"/>
  <c r="N89" i="1"/>
  <c r="M89" i="1"/>
  <c r="O89" i="1" s="1"/>
  <c r="P88" i="1"/>
  <c r="N88" i="1"/>
  <c r="M88" i="1"/>
  <c r="O88" i="1" s="1"/>
  <c r="P87" i="1"/>
  <c r="N87" i="1"/>
  <c r="M87" i="1"/>
  <c r="O87" i="1" s="1"/>
  <c r="P86" i="1"/>
  <c r="N86" i="1"/>
  <c r="M86" i="1"/>
  <c r="O86" i="1" s="1"/>
  <c r="P85" i="1"/>
  <c r="N85" i="1"/>
  <c r="M85" i="1"/>
  <c r="O85" i="1" s="1"/>
  <c r="P84" i="1"/>
  <c r="N84" i="1"/>
  <c r="M84" i="1"/>
  <c r="O84" i="1" s="1"/>
  <c r="P83" i="1"/>
  <c r="N83" i="1"/>
  <c r="M83" i="1"/>
  <c r="O83" i="1" s="1"/>
  <c r="P82" i="1"/>
  <c r="N82" i="1"/>
  <c r="M82" i="1"/>
  <c r="O82" i="1" s="1"/>
  <c r="L81" i="1"/>
  <c r="P79" i="1"/>
  <c r="N79" i="1"/>
  <c r="M79" i="1"/>
  <c r="O79" i="1" s="1"/>
  <c r="P78" i="1"/>
  <c r="N78" i="1"/>
  <c r="M78" i="1"/>
  <c r="O78" i="1" s="1"/>
  <c r="P77" i="1"/>
  <c r="N77" i="1"/>
  <c r="M77" i="1"/>
  <c r="O77" i="1" s="1"/>
  <c r="P76" i="1"/>
  <c r="N76" i="1"/>
  <c r="M76" i="1"/>
  <c r="O76" i="1" s="1"/>
  <c r="P75" i="1"/>
  <c r="N75" i="1"/>
  <c r="M75" i="1"/>
  <c r="O75" i="1" s="1"/>
  <c r="P74" i="1"/>
  <c r="N74" i="1"/>
  <c r="M74" i="1"/>
  <c r="O74" i="1" s="1"/>
  <c r="P73" i="1"/>
  <c r="N73" i="1"/>
  <c r="M73" i="1"/>
  <c r="O73" i="1" s="1"/>
  <c r="P72" i="1"/>
  <c r="N72" i="1"/>
  <c r="M72" i="1"/>
  <c r="O72" i="1" s="1"/>
  <c r="P71" i="1"/>
  <c r="N71" i="1"/>
  <c r="M71" i="1"/>
  <c r="O71" i="1" s="1"/>
  <c r="L70" i="1"/>
  <c r="P68" i="1"/>
  <c r="N68" i="1"/>
  <c r="M68" i="1"/>
  <c r="O68" i="1" s="1"/>
  <c r="P67" i="1"/>
  <c r="N67" i="1"/>
  <c r="M67" i="1"/>
  <c r="O67" i="1" s="1"/>
  <c r="P66" i="1"/>
  <c r="N66" i="1"/>
  <c r="M66" i="1"/>
  <c r="O66" i="1" s="1"/>
  <c r="P65" i="1"/>
  <c r="N65" i="1"/>
  <c r="M65" i="1"/>
  <c r="O65" i="1" s="1"/>
  <c r="P64" i="1"/>
  <c r="N64" i="1"/>
  <c r="M64" i="1"/>
  <c r="O64" i="1" s="1"/>
  <c r="P63" i="1"/>
  <c r="N63" i="1"/>
  <c r="M63" i="1"/>
  <c r="O63" i="1" s="1"/>
  <c r="P62" i="1"/>
  <c r="N62" i="1"/>
  <c r="M62" i="1"/>
  <c r="O62" i="1" s="1"/>
  <c r="P61" i="1"/>
  <c r="N61" i="1"/>
  <c r="M61" i="1"/>
  <c r="O61" i="1" s="1"/>
  <c r="P60" i="1"/>
  <c r="N60" i="1"/>
  <c r="M60" i="1"/>
  <c r="O60" i="1" s="1"/>
  <c r="L59" i="1"/>
  <c r="P57" i="1"/>
  <c r="N57" i="1"/>
  <c r="M57" i="1"/>
  <c r="O57" i="1" s="1"/>
  <c r="P56" i="1"/>
  <c r="N56" i="1"/>
  <c r="M56" i="1"/>
  <c r="O56" i="1" s="1"/>
  <c r="P55" i="1"/>
  <c r="N55" i="1"/>
  <c r="M55" i="1"/>
  <c r="O55" i="1" s="1"/>
  <c r="P54" i="1"/>
  <c r="N54" i="1"/>
  <c r="M54" i="1"/>
  <c r="O54" i="1" s="1"/>
  <c r="P53" i="1"/>
  <c r="N53" i="1"/>
  <c r="M53" i="1"/>
  <c r="O53" i="1" s="1"/>
  <c r="P52" i="1"/>
  <c r="N52" i="1"/>
  <c r="M52" i="1"/>
  <c r="O52" i="1" s="1"/>
  <c r="P51" i="1"/>
  <c r="N51" i="1"/>
  <c r="M51" i="1"/>
  <c r="O51" i="1" s="1"/>
  <c r="P50" i="1"/>
  <c r="N50" i="1"/>
  <c r="M50" i="1"/>
  <c r="O50" i="1" s="1"/>
  <c r="P49" i="1"/>
  <c r="N49" i="1"/>
  <c r="M49" i="1"/>
  <c r="O49" i="1" s="1"/>
  <c r="L48" i="1"/>
  <c r="P46" i="1"/>
  <c r="N46" i="1"/>
  <c r="M46" i="1"/>
  <c r="O46" i="1" s="1"/>
  <c r="P45" i="1"/>
  <c r="N45" i="1"/>
  <c r="M45" i="1"/>
  <c r="O45" i="1" s="1"/>
  <c r="P44" i="1"/>
  <c r="N44" i="1"/>
  <c r="M44" i="1"/>
  <c r="O44" i="1" s="1"/>
  <c r="P43" i="1"/>
  <c r="N43" i="1"/>
  <c r="M43" i="1"/>
  <c r="O43" i="1" s="1"/>
  <c r="P42" i="1"/>
  <c r="N42" i="1"/>
  <c r="M42" i="1"/>
  <c r="O42" i="1" s="1"/>
  <c r="P41" i="1"/>
  <c r="N41" i="1"/>
  <c r="M41" i="1"/>
  <c r="O41" i="1" s="1"/>
  <c r="P40" i="1"/>
  <c r="N40" i="1"/>
  <c r="M40" i="1"/>
  <c r="O40" i="1" s="1"/>
  <c r="P39" i="1"/>
  <c r="N39" i="1"/>
  <c r="M39" i="1"/>
  <c r="O39" i="1" s="1"/>
  <c r="P38" i="1"/>
  <c r="N38" i="1"/>
  <c r="M38" i="1"/>
  <c r="O38" i="1" s="1"/>
  <c r="L37" i="1"/>
  <c r="I36" i="1"/>
  <c r="H36" i="1"/>
  <c r="G36" i="1"/>
  <c r="F36" i="1"/>
  <c r="E36" i="1"/>
  <c r="D36" i="1"/>
  <c r="C36" i="1"/>
  <c r="B36" i="1"/>
  <c r="P35" i="1"/>
  <c r="N35" i="1"/>
  <c r="M35" i="1"/>
  <c r="O35" i="1" s="1"/>
  <c r="I35" i="1"/>
  <c r="H35" i="1"/>
  <c r="G35" i="1"/>
  <c r="F35" i="1"/>
  <c r="E35" i="1"/>
  <c r="D35" i="1"/>
  <c r="C35" i="1"/>
  <c r="B35" i="1"/>
  <c r="P34" i="1"/>
  <c r="N34" i="1"/>
  <c r="M34" i="1"/>
  <c r="O34" i="1" s="1"/>
  <c r="I34" i="1"/>
  <c r="H34" i="1"/>
  <c r="G34" i="1"/>
  <c r="F34" i="1"/>
  <c r="E34" i="1"/>
  <c r="D34" i="1"/>
  <c r="C34" i="1"/>
  <c r="B34" i="1"/>
  <c r="P33" i="1"/>
  <c r="N33" i="1"/>
  <c r="M33" i="1"/>
  <c r="O33" i="1" s="1"/>
  <c r="I33" i="1"/>
  <c r="H33" i="1"/>
  <c r="G33" i="1"/>
  <c r="F33" i="1"/>
  <c r="E33" i="1"/>
  <c r="D33" i="1"/>
  <c r="C33" i="1"/>
  <c r="B33" i="1"/>
  <c r="P32" i="1"/>
  <c r="N32" i="1"/>
  <c r="M32" i="1"/>
  <c r="O32" i="1" s="1"/>
  <c r="I32" i="1"/>
  <c r="H32" i="1"/>
  <c r="G32" i="1"/>
  <c r="F32" i="1"/>
  <c r="E32" i="1"/>
  <c r="D32" i="1"/>
  <c r="C32" i="1"/>
  <c r="B32" i="1"/>
  <c r="P31" i="1"/>
  <c r="N31" i="1"/>
  <c r="M31" i="1"/>
  <c r="O31" i="1" s="1"/>
  <c r="I31" i="1"/>
  <c r="H31" i="1"/>
  <c r="G31" i="1"/>
  <c r="F31" i="1"/>
  <c r="E31" i="1"/>
  <c r="D31" i="1"/>
  <c r="C31" i="1"/>
  <c r="B31" i="1"/>
  <c r="P30" i="1"/>
  <c r="N30" i="1"/>
  <c r="M30" i="1"/>
  <c r="O30" i="1" s="1"/>
  <c r="I30" i="1"/>
  <c r="H30" i="1"/>
  <c r="G30" i="1"/>
  <c r="F30" i="1"/>
  <c r="E30" i="1"/>
  <c r="D30" i="1"/>
  <c r="C30" i="1"/>
  <c r="B30" i="1"/>
  <c r="P29" i="1"/>
  <c r="N29" i="1"/>
  <c r="M29" i="1"/>
  <c r="O29" i="1" s="1"/>
  <c r="I29" i="1"/>
  <c r="H29" i="1"/>
  <c r="G29" i="1"/>
  <c r="F29" i="1"/>
  <c r="E29" i="1"/>
  <c r="D29" i="1"/>
  <c r="C29" i="1"/>
  <c r="B29" i="1"/>
  <c r="P28" i="1"/>
  <c r="N28" i="1"/>
  <c r="M28" i="1"/>
  <c r="O28" i="1" s="1"/>
  <c r="I28" i="1"/>
  <c r="H28" i="1"/>
  <c r="G28" i="1"/>
  <c r="F28" i="1"/>
  <c r="E28" i="1"/>
  <c r="D28" i="1"/>
  <c r="C28" i="1"/>
  <c r="B28" i="1"/>
  <c r="P27" i="1"/>
  <c r="N27" i="1"/>
  <c r="M27" i="1"/>
  <c r="O27" i="1" s="1"/>
  <c r="I27" i="1"/>
  <c r="H27" i="1"/>
  <c r="G27" i="1"/>
  <c r="F27" i="1"/>
  <c r="E27" i="1"/>
  <c r="D27" i="1"/>
  <c r="C27" i="1"/>
  <c r="B27" i="1"/>
  <c r="L26" i="1"/>
  <c r="I26" i="1"/>
  <c r="H26" i="1"/>
  <c r="G26" i="1"/>
  <c r="F26" i="1"/>
  <c r="E26" i="1"/>
  <c r="D26" i="1"/>
  <c r="C26" i="1"/>
  <c r="B26" i="1"/>
  <c r="I25" i="1"/>
  <c r="H25" i="1"/>
  <c r="G25" i="1"/>
  <c r="F25" i="1"/>
  <c r="E25" i="1"/>
  <c r="D25" i="1"/>
  <c r="C25" i="1"/>
  <c r="B25" i="1"/>
  <c r="I24" i="1"/>
  <c r="H24" i="1"/>
  <c r="G24" i="1"/>
  <c r="F24" i="1"/>
  <c r="E24" i="1"/>
  <c r="D24" i="1"/>
  <c r="C24" i="1"/>
  <c r="B24" i="1"/>
  <c r="I23" i="1"/>
  <c r="H23" i="1"/>
  <c r="G23" i="1"/>
  <c r="F23" i="1"/>
  <c r="E23" i="1"/>
  <c r="D23" i="1"/>
  <c r="C23" i="1"/>
  <c r="B23" i="1"/>
  <c r="O22" i="1"/>
  <c r="N22" i="1"/>
  <c r="M22" i="1"/>
  <c r="L22" i="1"/>
  <c r="I22" i="1"/>
  <c r="H22" i="1"/>
  <c r="G22" i="1"/>
  <c r="F22" i="1"/>
  <c r="E22" i="1"/>
  <c r="D22" i="1"/>
  <c r="C22" i="1"/>
  <c r="B22" i="1"/>
  <c r="O21" i="1"/>
  <c r="N21" i="1"/>
  <c r="M21" i="1"/>
  <c r="L21" i="1"/>
  <c r="I21" i="1"/>
  <c r="H21" i="1"/>
  <c r="G21" i="1"/>
  <c r="F21" i="1"/>
  <c r="E21" i="1"/>
  <c r="D21" i="1"/>
  <c r="C21" i="1"/>
  <c r="B21" i="1"/>
  <c r="O20" i="1"/>
  <c r="L20" i="1"/>
  <c r="I20" i="1"/>
  <c r="H20" i="1"/>
  <c r="G20" i="1"/>
  <c r="F20" i="1"/>
  <c r="E20" i="1"/>
  <c r="D20" i="1"/>
  <c r="C20" i="1"/>
  <c r="B20" i="1"/>
  <c r="O19" i="1"/>
  <c r="L19" i="1"/>
  <c r="I19" i="1"/>
  <c r="H19" i="1"/>
  <c r="G19" i="1"/>
  <c r="F19" i="1"/>
  <c r="E19" i="1"/>
  <c r="D19" i="1"/>
  <c r="C19" i="1"/>
  <c r="B19" i="1"/>
  <c r="O18" i="1"/>
  <c r="L18" i="1"/>
  <c r="I18" i="1"/>
  <c r="H18" i="1"/>
  <c r="G18" i="1"/>
  <c r="F18" i="1"/>
  <c r="E18" i="1"/>
  <c r="D18" i="1"/>
  <c r="C18" i="1"/>
  <c r="B18" i="1"/>
  <c r="O17" i="1"/>
  <c r="L17" i="1"/>
  <c r="I17" i="1"/>
  <c r="H17" i="1"/>
  <c r="G17" i="1"/>
  <c r="F17" i="1"/>
  <c r="E17" i="1"/>
  <c r="D17" i="1"/>
  <c r="C17" i="1"/>
  <c r="B17" i="1"/>
  <c r="I16" i="1"/>
  <c r="H16" i="1"/>
  <c r="G16" i="1"/>
  <c r="F16" i="1"/>
  <c r="E16" i="1"/>
  <c r="D16" i="1"/>
  <c r="C16" i="1"/>
  <c r="B16" i="1"/>
  <c r="I15" i="1"/>
  <c r="H15" i="1"/>
  <c r="G15" i="1"/>
  <c r="F15" i="1"/>
  <c r="E15" i="1"/>
  <c r="D15" i="1"/>
  <c r="C15" i="1"/>
  <c r="B15" i="1"/>
  <c r="I14" i="1"/>
  <c r="H14" i="1"/>
  <c r="G14" i="1"/>
  <c r="F14" i="1"/>
  <c r="E14" i="1"/>
  <c r="D14" i="1"/>
  <c r="C14" i="1"/>
  <c r="B14" i="1"/>
  <c r="I13" i="1"/>
  <c r="H13" i="1"/>
  <c r="G13" i="1"/>
  <c r="F13" i="1"/>
  <c r="E13" i="1"/>
  <c r="D13" i="1"/>
  <c r="C13" i="1"/>
  <c r="B13" i="1"/>
  <c r="N12" i="1"/>
  <c r="M12" i="1"/>
  <c r="P12" i="1" s="1"/>
  <c r="L12" i="1"/>
  <c r="I12" i="1"/>
  <c r="H12" i="1"/>
  <c r="G12" i="1"/>
  <c r="F12" i="1"/>
  <c r="E12" i="1"/>
  <c r="D12" i="1"/>
  <c r="C12" i="1"/>
  <c r="B12" i="1"/>
  <c r="N11" i="1"/>
  <c r="M11" i="1"/>
  <c r="L11" i="1"/>
  <c r="I11" i="1"/>
  <c r="H11" i="1"/>
  <c r="G11" i="1"/>
  <c r="F11" i="1"/>
  <c r="E11" i="1"/>
  <c r="D11" i="1"/>
  <c r="C11" i="1"/>
  <c r="B11" i="1"/>
  <c r="L10" i="1"/>
  <c r="I10" i="1"/>
  <c r="H10" i="1"/>
  <c r="G10" i="1"/>
  <c r="F10" i="1"/>
  <c r="E10" i="1"/>
  <c r="D10" i="1"/>
  <c r="C10" i="1"/>
  <c r="B10" i="1"/>
  <c r="L9" i="1"/>
  <c r="I9" i="1"/>
  <c r="H9" i="1"/>
  <c r="G9" i="1"/>
  <c r="F9" i="1"/>
  <c r="E9" i="1"/>
  <c r="D9" i="1"/>
  <c r="C9" i="1"/>
  <c r="B9" i="1"/>
  <c r="L8" i="1"/>
  <c r="I8" i="1"/>
  <c r="H8" i="1"/>
  <c r="G8" i="1"/>
  <c r="F8" i="1"/>
  <c r="E8" i="1"/>
  <c r="D8" i="1"/>
  <c r="C8" i="1"/>
  <c r="B8" i="1"/>
  <c r="L7" i="1"/>
  <c r="I7" i="1"/>
  <c r="H7" i="1"/>
  <c r="G7" i="1"/>
  <c r="F7" i="1"/>
  <c r="E7" i="1"/>
  <c r="D7" i="1"/>
  <c r="C7" i="1"/>
  <c r="B7" i="1"/>
  <c r="I6" i="1"/>
  <c r="H6" i="1"/>
  <c r="G6" i="1"/>
  <c r="F6" i="1"/>
  <c r="E6" i="1"/>
  <c r="D6" i="1"/>
  <c r="C6" i="1"/>
  <c r="B6" i="1"/>
  <c r="I5" i="1"/>
  <c r="H5" i="1"/>
  <c r="G5" i="1"/>
  <c r="F5" i="1"/>
  <c r="E5" i="1"/>
  <c r="D5" i="1"/>
  <c r="C5" i="1"/>
  <c r="L4" i="1"/>
  <c r="L3" i="1"/>
  <c r="B3" i="1"/>
  <c r="H503" i="3"/>
  <c r="G503" i="3"/>
  <c r="H502" i="3"/>
  <c r="G502" i="3"/>
  <c r="H501" i="3"/>
  <c r="G501" i="3"/>
  <c r="H500" i="3"/>
  <c r="G500" i="3"/>
  <c r="H499" i="3"/>
  <c r="G499" i="3"/>
  <c r="H498" i="3"/>
  <c r="G498" i="3"/>
  <c r="H497" i="3"/>
  <c r="G497" i="3"/>
  <c r="H496" i="3"/>
  <c r="G496" i="3"/>
  <c r="H495" i="3"/>
  <c r="G495" i="3"/>
  <c r="H494" i="3"/>
  <c r="G494" i="3"/>
  <c r="H493" i="3"/>
  <c r="G493" i="3"/>
  <c r="H492" i="3"/>
  <c r="G492" i="3"/>
  <c r="H491" i="3"/>
  <c r="G491" i="3"/>
  <c r="H490" i="3"/>
  <c r="G490" i="3"/>
  <c r="H489" i="3"/>
  <c r="G489" i="3"/>
  <c r="H488" i="3"/>
  <c r="G488" i="3"/>
  <c r="H487" i="3"/>
  <c r="G487" i="3"/>
  <c r="H486" i="3"/>
  <c r="G486" i="3"/>
  <c r="H485" i="3"/>
  <c r="G485" i="3"/>
  <c r="H484" i="3"/>
  <c r="G484" i="3"/>
  <c r="H483" i="3"/>
  <c r="G483" i="3"/>
  <c r="H482" i="3"/>
  <c r="G482" i="3"/>
  <c r="H481" i="3"/>
  <c r="G481" i="3"/>
  <c r="H480" i="3"/>
  <c r="G480" i="3"/>
  <c r="H479" i="3"/>
  <c r="G479" i="3"/>
  <c r="H478" i="3"/>
  <c r="G478" i="3"/>
  <c r="H477" i="3"/>
  <c r="G477" i="3"/>
  <c r="H476" i="3"/>
  <c r="G476" i="3"/>
  <c r="H475" i="3"/>
  <c r="G475" i="3"/>
  <c r="H474" i="3"/>
  <c r="G474" i="3"/>
  <c r="H473" i="3"/>
  <c r="G473" i="3"/>
  <c r="H472" i="3"/>
  <c r="G472" i="3"/>
  <c r="H471" i="3"/>
  <c r="G471" i="3"/>
  <c r="H470" i="3"/>
  <c r="G470" i="3"/>
  <c r="H469" i="3"/>
  <c r="G469" i="3"/>
  <c r="H468" i="3"/>
  <c r="G468" i="3"/>
  <c r="H467" i="3"/>
  <c r="G467" i="3"/>
  <c r="H466" i="3"/>
  <c r="G466" i="3"/>
  <c r="H465" i="3"/>
  <c r="G465" i="3"/>
  <c r="H464" i="3"/>
  <c r="G464" i="3"/>
  <c r="H463" i="3"/>
  <c r="G463" i="3"/>
  <c r="H462" i="3"/>
  <c r="G462" i="3"/>
  <c r="H461" i="3"/>
  <c r="G461" i="3"/>
  <c r="H460" i="3"/>
  <c r="G460" i="3"/>
  <c r="H459" i="3"/>
  <c r="G459" i="3"/>
  <c r="H458" i="3"/>
  <c r="G458" i="3"/>
  <c r="H457" i="3"/>
  <c r="G457" i="3"/>
  <c r="H456" i="3"/>
  <c r="G456" i="3"/>
  <c r="H455" i="3"/>
  <c r="G455" i="3"/>
  <c r="H454" i="3"/>
  <c r="G454" i="3"/>
  <c r="H453" i="3"/>
  <c r="G453" i="3"/>
  <c r="H452" i="3"/>
  <c r="G452" i="3"/>
  <c r="H451" i="3"/>
  <c r="G451" i="3"/>
  <c r="H450" i="3"/>
  <c r="G450" i="3"/>
  <c r="H449" i="3"/>
  <c r="G449" i="3"/>
  <c r="H448" i="3"/>
  <c r="G448" i="3"/>
  <c r="H447" i="3"/>
  <c r="G447" i="3"/>
  <c r="H446" i="3"/>
  <c r="G446" i="3"/>
  <c r="H445" i="3"/>
  <c r="G445" i="3"/>
  <c r="H444" i="3"/>
  <c r="G444" i="3"/>
  <c r="H443" i="3"/>
  <c r="G443" i="3"/>
  <c r="H442" i="3"/>
  <c r="G442" i="3"/>
  <c r="H441" i="3"/>
  <c r="G441" i="3"/>
  <c r="H440" i="3"/>
  <c r="G440" i="3"/>
  <c r="H439" i="3"/>
  <c r="G439" i="3"/>
  <c r="H438" i="3"/>
  <c r="G438" i="3"/>
  <c r="H437" i="3"/>
  <c r="G437" i="3"/>
  <c r="H436" i="3"/>
  <c r="G436" i="3"/>
  <c r="H435" i="3"/>
  <c r="G435" i="3"/>
  <c r="H434" i="3"/>
  <c r="G434" i="3"/>
  <c r="H433" i="3"/>
  <c r="G433" i="3"/>
  <c r="H432" i="3"/>
  <c r="G432" i="3"/>
  <c r="H431" i="3"/>
  <c r="G431" i="3"/>
  <c r="H430" i="3"/>
  <c r="G430" i="3"/>
  <c r="H429" i="3"/>
  <c r="G429" i="3"/>
  <c r="H428" i="3"/>
  <c r="G428" i="3"/>
  <c r="H427" i="3"/>
  <c r="G427" i="3"/>
  <c r="H426" i="3"/>
  <c r="G426" i="3"/>
  <c r="H425" i="3"/>
  <c r="G425" i="3"/>
  <c r="H424" i="3"/>
  <c r="G424" i="3"/>
  <c r="H423" i="3"/>
  <c r="G423" i="3"/>
  <c r="H422" i="3"/>
  <c r="G422" i="3"/>
  <c r="H421" i="3"/>
  <c r="G421" i="3"/>
  <c r="H420" i="3"/>
  <c r="G420" i="3"/>
  <c r="H419" i="3"/>
  <c r="G419" i="3"/>
  <c r="H418" i="3"/>
  <c r="G418" i="3"/>
  <c r="H417" i="3"/>
  <c r="G417" i="3"/>
  <c r="H416" i="3"/>
  <c r="G416" i="3"/>
  <c r="H415" i="3"/>
  <c r="G415" i="3"/>
  <c r="H414" i="3"/>
  <c r="G414" i="3"/>
  <c r="H413" i="3"/>
  <c r="G413" i="3"/>
  <c r="H412" i="3"/>
  <c r="G412" i="3"/>
  <c r="H411" i="3"/>
  <c r="G411" i="3"/>
  <c r="H410" i="3"/>
  <c r="G410" i="3"/>
  <c r="H409" i="3"/>
  <c r="G409" i="3"/>
  <c r="H408" i="3"/>
  <c r="G408" i="3"/>
  <c r="H407" i="3"/>
  <c r="G407" i="3"/>
  <c r="H406" i="3"/>
  <c r="G406" i="3"/>
  <c r="H405" i="3"/>
  <c r="G405" i="3"/>
  <c r="H404" i="3"/>
  <c r="G404" i="3"/>
  <c r="H403" i="3"/>
  <c r="G403" i="3"/>
  <c r="H402" i="3"/>
  <c r="G402" i="3"/>
  <c r="H401" i="3"/>
  <c r="G401" i="3"/>
  <c r="H400" i="3"/>
  <c r="G400" i="3"/>
  <c r="H399" i="3"/>
  <c r="G399" i="3"/>
  <c r="H398" i="3"/>
  <c r="G398" i="3"/>
  <c r="H397" i="3"/>
  <c r="G397" i="3"/>
  <c r="H396" i="3"/>
  <c r="G396" i="3"/>
  <c r="H395" i="3"/>
  <c r="G395" i="3"/>
  <c r="H394" i="3"/>
  <c r="G394" i="3"/>
  <c r="H393" i="3"/>
  <c r="G393" i="3"/>
  <c r="H392" i="3"/>
  <c r="G392" i="3"/>
  <c r="H391" i="3"/>
  <c r="G391" i="3"/>
  <c r="H390" i="3"/>
  <c r="G390" i="3"/>
  <c r="H389" i="3"/>
  <c r="G389" i="3"/>
  <c r="H388" i="3"/>
  <c r="G388" i="3"/>
  <c r="H387" i="3"/>
  <c r="G387" i="3"/>
  <c r="H386" i="3"/>
  <c r="G386" i="3"/>
  <c r="H385" i="3"/>
  <c r="G385" i="3"/>
  <c r="H384" i="3"/>
  <c r="G384" i="3"/>
  <c r="H383" i="3"/>
  <c r="G383" i="3"/>
  <c r="H382" i="3"/>
  <c r="G382" i="3"/>
  <c r="H381" i="3"/>
  <c r="G381" i="3"/>
  <c r="H380" i="3"/>
  <c r="G380" i="3"/>
  <c r="H379" i="3"/>
  <c r="G379" i="3"/>
  <c r="H378" i="3"/>
  <c r="G378" i="3"/>
  <c r="H377" i="3"/>
  <c r="G377" i="3"/>
  <c r="H376" i="3"/>
  <c r="G376" i="3"/>
  <c r="H375" i="3"/>
  <c r="G375" i="3"/>
  <c r="H374" i="3"/>
  <c r="G374" i="3"/>
  <c r="H373" i="3"/>
  <c r="G373" i="3"/>
  <c r="H372" i="3"/>
  <c r="G372" i="3"/>
  <c r="H371" i="3"/>
  <c r="G371" i="3"/>
  <c r="H370" i="3"/>
  <c r="G370" i="3"/>
  <c r="H369" i="3"/>
  <c r="G369" i="3"/>
  <c r="H368" i="3"/>
  <c r="G368" i="3"/>
  <c r="H367" i="3"/>
  <c r="G367" i="3"/>
  <c r="H366" i="3"/>
  <c r="G366" i="3"/>
  <c r="H365" i="3"/>
  <c r="G365" i="3"/>
  <c r="H364" i="3"/>
  <c r="G364" i="3"/>
  <c r="H363" i="3"/>
  <c r="G363" i="3"/>
  <c r="H362" i="3"/>
  <c r="G362" i="3"/>
  <c r="H361" i="3"/>
  <c r="G361" i="3"/>
  <c r="H360" i="3"/>
  <c r="G360" i="3"/>
  <c r="H359" i="3"/>
  <c r="G359" i="3"/>
  <c r="H358" i="3"/>
  <c r="G358" i="3"/>
  <c r="H357" i="3"/>
  <c r="G357" i="3"/>
  <c r="H356" i="3"/>
  <c r="G356" i="3"/>
  <c r="H355" i="3"/>
  <c r="G355" i="3"/>
  <c r="H354" i="3"/>
  <c r="G354" i="3"/>
  <c r="H353" i="3"/>
  <c r="G353" i="3"/>
  <c r="H352" i="3"/>
  <c r="G352" i="3"/>
  <c r="H351" i="3"/>
  <c r="G351" i="3"/>
  <c r="H350" i="3"/>
  <c r="G350" i="3"/>
  <c r="H349" i="3"/>
  <c r="G349" i="3"/>
  <c r="H348" i="3"/>
  <c r="G348" i="3"/>
  <c r="H347" i="3"/>
  <c r="G347" i="3"/>
  <c r="H346" i="3"/>
  <c r="G346" i="3"/>
  <c r="H345" i="3"/>
  <c r="G345" i="3"/>
  <c r="H344" i="3"/>
  <c r="G344" i="3"/>
  <c r="H343" i="3"/>
  <c r="G343" i="3"/>
  <c r="H342" i="3"/>
  <c r="G342" i="3"/>
  <c r="H341" i="3"/>
  <c r="G341" i="3"/>
  <c r="H340" i="3"/>
  <c r="G340" i="3"/>
  <c r="H339" i="3"/>
  <c r="G339" i="3"/>
  <c r="H338" i="3"/>
  <c r="G338" i="3"/>
  <c r="H337" i="3"/>
  <c r="G337" i="3"/>
  <c r="H336" i="3"/>
  <c r="G336" i="3"/>
  <c r="H335" i="3"/>
  <c r="G335" i="3"/>
  <c r="H334" i="3"/>
  <c r="G334" i="3"/>
  <c r="H333" i="3"/>
  <c r="G333" i="3"/>
  <c r="H332" i="3"/>
  <c r="G332" i="3"/>
  <c r="H331" i="3"/>
  <c r="G331" i="3"/>
  <c r="H330" i="3"/>
  <c r="G330" i="3"/>
  <c r="H329" i="3"/>
  <c r="G329" i="3"/>
  <c r="H328" i="3"/>
  <c r="G328" i="3"/>
  <c r="H327" i="3"/>
  <c r="G327" i="3"/>
  <c r="H326" i="3"/>
  <c r="G326" i="3"/>
  <c r="H325" i="3"/>
  <c r="G325" i="3"/>
  <c r="H324" i="3"/>
  <c r="G324" i="3"/>
  <c r="H323" i="3"/>
  <c r="G323" i="3"/>
  <c r="H322" i="3"/>
  <c r="G322" i="3"/>
  <c r="H321" i="3"/>
  <c r="G321" i="3"/>
  <c r="H320" i="3"/>
  <c r="G320" i="3"/>
  <c r="H319" i="3"/>
  <c r="G319" i="3"/>
  <c r="H318" i="3"/>
  <c r="G318" i="3"/>
  <c r="H317" i="3"/>
  <c r="G317" i="3"/>
  <c r="H316" i="3"/>
  <c r="G316" i="3"/>
  <c r="H315" i="3"/>
  <c r="G315" i="3"/>
  <c r="H314" i="3"/>
  <c r="G314" i="3"/>
  <c r="H313" i="3"/>
  <c r="G313" i="3"/>
  <c r="H312" i="3"/>
  <c r="G312" i="3"/>
  <c r="H311" i="3"/>
  <c r="G311" i="3"/>
  <c r="H310" i="3"/>
  <c r="G310" i="3"/>
  <c r="H309" i="3"/>
  <c r="G309" i="3"/>
  <c r="H308" i="3"/>
  <c r="G308" i="3"/>
  <c r="H307" i="3"/>
  <c r="G307" i="3"/>
  <c r="H306" i="3"/>
  <c r="G306" i="3"/>
  <c r="H305" i="3"/>
  <c r="G305" i="3"/>
  <c r="H304" i="3"/>
  <c r="G304" i="3"/>
  <c r="H303" i="3"/>
  <c r="G303" i="3"/>
  <c r="H302" i="3"/>
  <c r="G302" i="3"/>
  <c r="H301" i="3"/>
  <c r="G301" i="3"/>
  <c r="H300" i="3"/>
  <c r="G300" i="3"/>
  <c r="H299" i="3"/>
  <c r="G299" i="3"/>
  <c r="H298" i="3"/>
  <c r="G298" i="3"/>
  <c r="H297" i="3"/>
  <c r="G297" i="3"/>
  <c r="H296" i="3"/>
  <c r="G296" i="3"/>
  <c r="H295" i="3"/>
  <c r="G295" i="3"/>
  <c r="H294" i="3"/>
  <c r="G294" i="3"/>
  <c r="H293" i="3"/>
  <c r="G293" i="3"/>
  <c r="H292" i="3"/>
  <c r="G292" i="3"/>
  <c r="H291" i="3"/>
  <c r="G291" i="3"/>
  <c r="H290" i="3"/>
  <c r="G290" i="3"/>
  <c r="H289" i="3"/>
  <c r="G289" i="3"/>
  <c r="H288" i="3"/>
  <c r="G288" i="3"/>
  <c r="H287" i="3"/>
  <c r="G287" i="3"/>
  <c r="H286" i="3"/>
  <c r="G286" i="3"/>
  <c r="H285" i="3"/>
  <c r="G285" i="3"/>
  <c r="H284" i="3"/>
  <c r="G284" i="3"/>
  <c r="H283" i="3"/>
  <c r="G283" i="3"/>
  <c r="H282" i="3"/>
  <c r="G282" i="3"/>
  <c r="H281" i="3"/>
  <c r="G281" i="3"/>
  <c r="H280" i="3"/>
  <c r="G280" i="3"/>
  <c r="H279" i="3"/>
  <c r="G279" i="3"/>
  <c r="H278" i="3"/>
  <c r="G278" i="3"/>
  <c r="H277" i="3"/>
  <c r="G277" i="3"/>
  <c r="H276" i="3"/>
  <c r="G276" i="3"/>
  <c r="H275" i="3"/>
  <c r="G275" i="3"/>
  <c r="H274" i="3"/>
  <c r="G274" i="3"/>
  <c r="H273" i="3"/>
  <c r="G273" i="3"/>
  <c r="H272" i="3"/>
  <c r="G272" i="3"/>
  <c r="H271" i="3"/>
  <c r="G271" i="3"/>
  <c r="H270" i="3"/>
  <c r="G270" i="3"/>
  <c r="H269" i="3"/>
  <c r="G269" i="3"/>
  <c r="H268" i="3"/>
  <c r="G268" i="3"/>
  <c r="H267" i="3"/>
  <c r="G267" i="3"/>
  <c r="H266" i="3"/>
  <c r="G266" i="3"/>
  <c r="H265" i="3"/>
  <c r="G265" i="3"/>
  <c r="H264" i="3"/>
  <c r="G264" i="3"/>
  <c r="H263" i="3"/>
  <c r="G263" i="3"/>
  <c r="H262" i="3"/>
  <c r="G262" i="3"/>
  <c r="H261" i="3"/>
  <c r="G261" i="3"/>
  <c r="H260" i="3"/>
  <c r="G260" i="3"/>
  <c r="H259" i="3"/>
  <c r="G259" i="3"/>
  <c r="H258" i="3"/>
  <c r="G258" i="3"/>
  <c r="H257" i="3"/>
  <c r="G257" i="3"/>
  <c r="H256" i="3"/>
  <c r="G256" i="3"/>
  <c r="H255" i="3"/>
  <c r="G255" i="3"/>
  <c r="H254" i="3"/>
  <c r="G254" i="3"/>
  <c r="H253" i="3"/>
  <c r="G253" i="3"/>
  <c r="H252" i="3"/>
  <c r="G252" i="3"/>
  <c r="H251" i="3"/>
  <c r="G251" i="3"/>
  <c r="H250" i="3"/>
  <c r="G250" i="3"/>
  <c r="H249" i="3"/>
  <c r="G249" i="3"/>
  <c r="H248" i="3"/>
  <c r="G248" i="3"/>
  <c r="H247" i="3"/>
  <c r="G247" i="3"/>
  <c r="H246" i="3"/>
  <c r="G246" i="3"/>
  <c r="H245" i="3"/>
  <c r="G245" i="3"/>
  <c r="H244" i="3"/>
  <c r="G244" i="3"/>
  <c r="H243" i="3"/>
  <c r="G243" i="3"/>
  <c r="H242" i="3"/>
  <c r="G242" i="3"/>
  <c r="H241" i="3"/>
  <c r="G241" i="3"/>
  <c r="H240" i="3"/>
  <c r="G240" i="3"/>
  <c r="H239" i="3"/>
  <c r="G239" i="3"/>
  <c r="H238" i="3"/>
  <c r="G238" i="3"/>
  <c r="H237" i="3"/>
  <c r="G237" i="3"/>
  <c r="H236" i="3"/>
  <c r="G236" i="3"/>
  <c r="H235" i="3"/>
  <c r="G235" i="3"/>
  <c r="H234" i="3"/>
  <c r="G234" i="3"/>
  <c r="H233" i="3"/>
  <c r="G233" i="3"/>
  <c r="H232" i="3"/>
  <c r="G232" i="3"/>
  <c r="H231" i="3"/>
  <c r="G231" i="3"/>
  <c r="H230" i="3"/>
  <c r="G230" i="3"/>
  <c r="H229" i="3"/>
  <c r="G229" i="3"/>
  <c r="H228" i="3"/>
  <c r="G228" i="3"/>
  <c r="H227" i="3"/>
  <c r="G227" i="3"/>
  <c r="H226" i="3"/>
  <c r="G226" i="3"/>
  <c r="H225" i="3"/>
  <c r="G225" i="3"/>
  <c r="H224" i="3"/>
  <c r="G224" i="3"/>
  <c r="H223" i="3"/>
  <c r="G223" i="3"/>
  <c r="H222" i="3"/>
  <c r="G222" i="3"/>
  <c r="H221" i="3"/>
  <c r="G221" i="3"/>
  <c r="H220" i="3"/>
  <c r="G220" i="3"/>
  <c r="H219" i="3"/>
  <c r="G219" i="3"/>
  <c r="H218" i="3"/>
  <c r="G218" i="3"/>
  <c r="H217" i="3"/>
  <c r="G217" i="3"/>
  <c r="H216" i="3"/>
  <c r="G216" i="3"/>
  <c r="H215" i="3"/>
  <c r="G215" i="3"/>
  <c r="H214" i="3"/>
  <c r="G214" i="3"/>
  <c r="H213" i="3"/>
  <c r="G213" i="3"/>
  <c r="H212" i="3"/>
  <c r="G212" i="3"/>
  <c r="H211" i="3"/>
  <c r="G211" i="3"/>
  <c r="H210" i="3"/>
  <c r="G210" i="3"/>
  <c r="H209" i="3"/>
  <c r="G209" i="3"/>
  <c r="H208" i="3"/>
  <c r="G208" i="3"/>
  <c r="H207" i="3"/>
  <c r="G207" i="3"/>
  <c r="H206" i="3"/>
  <c r="G206" i="3"/>
  <c r="H205" i="3"/>
  <c r="G205" i="3"/>
  <c r="H204" i="3"/>
  <c r="G204" i="3"/>
  <c r="H203" i="3"/>
  <c r="G203" i="3"/>
  <c r="H202" i="3"/>
  <c r="G202" i="3"/>
  <c r="H201" i="3"/>
  <c r="G201" i="3"/>
  <c r="H200" i="3"/>
  <c r="G200" i="3"/>
  <c r="H199" i="3"/>
  <c r="G199" i="3"/>
  <c r="H198" i="3"/>
  <c r="G198" i="3"/>
  <c r="H197" i="3"/>
  <c r="G197" i="3"/>
  <c r="H196" i="3"/>
  <c r="G196" i="3"/>
  <c r="H195" i="3"/>
  <c r="G195" i="3"/>
  <c r="H194" i="3"/>
  <c r="G194" i="3"/>
  <c r="H193" i="3"/>
  <c r="G193" i="3"/>
  <c r="H192" i="3"/>
  <c r="G192" i="3"/>
  <c r="H191" i="3"/>
  <c r="G191" i="3"/>
  <c r="H190" i="3"/>
  <c r="G190" i="3"/>
  <c r="H189" i="3"/>
  <c r="G189" i="3"/>
  <c r="H188" i="3"/>
  <c r="G188" i="3"/>
  <c r="H187" i="3"/>
  <c r="G187" i="3"/>
  <c r="H186" i="3"/>
  <c r="G186" i="3"/>
  <c r="H185" i="3"/>
  <c r="G185" i="3"/>
  <c r="H184" i="3"/>
  <c r="G184" i="3"/>
  <c r="H183" i="3"/>
  <c r="G183" i="3"/>
  <c r="H182" i="3"/>
  <c r="G182" i="3"/>
  <c r="H181" i="3"/>
  <c r="G181" i="3"/>
  <c r="H180" i="3"/>
  <c r="G180" i="3"/>
  <c r="H179" i="3"/>
  <c r="G179" i="3"/>
  <c r="H178" i="3"/>
  <c r="G178" i="3"/>
  <c r="H177" i="3"/>
  <c r="G177" i="3"/>
  <c r="H176" i="3"/>
  <c r="G176" i="3"/>
  <c r="H175" i="3"/>
  <c r="G175" i="3"/>
  <c r="H174" i="3"/>
  <c r="G174" i="3"/>
  <c r="H173" i="3"/>
  <c r="G173" i="3"/>
  <c r="H172" i="3"/>
  <c r="G172" i="3"/>
  <c r="H171" i="3"/>
  <c r="G171" i="3"/>
  <c r="H170" i="3"/>
  <c r="G170" i="3"/>
  <c r="H169" i="3"/>
  <c r="G169" i="3"/>
  <c r="H168" i="3"/>
  <c r="G168" i="3"/>
  <c r="H167" i="3"/>
  <c r="G167" i="3"/>
  <c r="H166" i="3"/>
  <c r="G166" i="3"/>
  <c r="H165" i="3"/>
  <c r="G165" i="3"/>
  <c r="H164" i="3"/>
  <c r="G164" i="3"/>
  <c r="H163" i="3"/>
  <c r="G163" i="3"/>
  <c r="H162" i="3"/>
  <c r="G162" i="3"/>
  <c r="H161" i="3"/>
  <c r="G161" i="3"/>
  <c r="H160" i="3"/>
  <c r="G160" i="3"/>
  <c r="H159" i="3"/>
  <c r="G159" i="3"/>
  <c r="H158" i="3"/>
  <c r="G158" i="3"/>
  <c r="H157" i="3"/>
  <c r="G157" i="3"/>
  <c r="H156" i="3"/>
  <c r="G156" i="3"/>
  <c r="H155" i="3"/>
  <c r="G155" i="3"/>
  <c r="H154" i="3"/>
  <c r="G154" i="3"/>
  <c r="H153" i="3"/>
  <c r="G153" i="3"/>
  <c r="H152" i="3"/>
  <c r="G152" i="3"/>
  <c r="H151" i="3"/>
  <c r="G151" i="3"/>
  <c r="H150" i="3"/>
  <c r="G150" i="3"/>
  <c r="H149" i="3"/>
  <c r="G149" i="3"/>
  <c r="H148" i="3"/>
  <c r="G148" i="3"/>
  <c r="H147" i="3"/>
  <c r="G147" i="3"/>
  <c r="H146" i="3"/>
  <c r="G146" i="3"/>
  <c r="H145" i="3"/>
  <c r="G145" i="3"/>
  <c r="H144" i="3"/>
  <c r="G144" i="3"/>
  <c r="H143" i="3"/>
  <c r="G143" i="3"/>
  <c r="H142" i="3"/>
  <c r="G142" i="3"/>
  <c r="H141" i="3"/>
  <c r="G141" i="3"/>
  <c r="H140" i="3"/>
  <c r="G140" i="3"/>
  <c r="H139" i="3"/>
  <c r="G139" i="3"/>
  <c r="H138" i="3"/>
  <c r="G138" i="3"/>
  <c r="H137" i="3"/>
  <c r="G137" i="3"/>
  <c r="H136" i="3"/>
  <c r="G136" i="3"/>
  <c r="H135" i="3"/>
  <c r="G135" i="3"/>
  <c r="H134" i="3"/>
  <c r="G134" i="3"/>
  <c r="H133" i="3"/>
  <c r="G133" i="3"/>
  <c r="H132" i="3"/>
  <c r="G132" i="3"/>
  <c r="H131" i="3"/>
  <c r="G131" i="3"/>
  <c r="H130" i="3"/>
  <c r="G130" i="3"/>
  <c r="H129" i="3"/>
  <c r="G129" i="3"/>
  <c r="H128" i="3"/>
  <c r="G128" i="3"/>
  <c r="H127" i="3"/>
  <c r="G127" i="3"/>
  <c r="H126" i="3"/>
  <c r="G126" i="3"/>
  <c r="H125" i="3"/>
  <c r="G125" i="3"/>
  <c r="H124" i="3"/>
  <c r="G124" i="3"/>
  <c r="H123" i="3"/>
  <c r="G123" i="3"/>
  <c r="H122" i="3"/>
  <c r="G122" i="3"/>
  <c r="H121" i="3"/>
  <c r="G121" i="3"/>
  <c r="H120" i="3"/>
  <c r="G120" i="3"/>
  <c r="H119" i="3"/>
  <c r="G119" i="3"/>
  <c r="H118" i="3"/>
  <c r="G118" i="3"/>
  <c r="H117" i="3"/>
  <c r="G117" i="3"/>
  <c r="H116" i="3"/>
  <c r="G116" i="3"/>
  <c r="H115" i="3"/>
  <c r="G115" i="3"/>
  <c r="H114" i="3"/>
  <c r="G114" i="3"/>
  <c r="H113" i="3"/>
  <c r="G113" i="3"/>
  <c r="H112" i="3"/>
  <c r="G112" i="3"/>
  <c r="H111" i="3"/>
  <c r="G111" i="3"/>
  <c r="H110" i="3"/>
  <c r="G110" i="3"/>
  <c r="H109" i="3"/>
  <c r="G109" i="3"/>
  <c r="H108" i="3"/>
  <c r="G108" i="3"/>
  <c r="H107" i="3"/>
  <c r="G107" i="3"/>
  <c r="H106" i="3"/>
  <c r="G106" i="3"/>
  <c r="H105" i="3"/>
  <c r="G105" i="3"/>
  <c r="H104" i="3"/>
  <c r="G104" i="3"/>
  <c r="H103" i="3"/>
  <c r="G103" i="3"/>
  <c r="H102" i="3"/>
  <c r="G102" i="3"/>
  <c r="H101" i="3"/>
  <c r="G101" i="3"/>
  <c r="H100" i="3"/>
  <c r="G100" i="3"/>
  <c r="H99" i="3"/>
  <c r="G99" i="3"/>
  <c r="H98" i="3"/>
  <c r="G98" i="3"/>
  <c r="H97" i="3"/>
  <c r="G97" i="3"/>
  <c r="H96" i="3"/>
  <c r="G96" i="3"/>
  <c r="H95" i="3"/>
  <c r="G95" i="3"/>
  <c r="H94" i="3"/>
  <c r="G94" i="3"/>
  <c r="H93" i="3"/>
  <c r="G93" i="3"/>
  <c r="H92" i="3"/>
  <c r="G92" i="3"/>
  <c r="H91" i="3"/>
  <c r="G91" i="3"/>
  <c r="H90" i="3"/>
  <c r="G90" i="3"/>
  <c r="H89" i="3"/>
  <c r="G89" i="3"/>
  <c r="H88" i="3"/>
  <c r="G88" i="3"/>
  <c r="H87" i="3"/>
  <c r="G87" i="3"/>
  <c r="H86" i="3"/>
  <c r="G86" i="3"/>
  <c r="H85" i="3"/>
  <c r="G85" i="3"/>
  <c r="H84" i="3"/>
  <c r="G84" i="3"/>
  <c r="H83" i="3"/>
  <c r="G83" i="3"/>
  <c r="H82" i="3"/>
  <c r="G82" i="3"/>
  <c r="H81" i="3"/>
  <c r="G81" i="3"/>
  <c r="H80" i="3"/>
  <c r="G80" i="3"/>
  <c r="H79" i="3"/>
  <c r="G79" i="3"/>
  <c r="H78" i="3"/>
  <c r="G78" i="3"/>
  <c r="H77" i="3"/>
  <c r="G77" i="3"/>
  <c r="H76" i="3"/>
  <c r="G76" i="3"/>
  <c r="H75" i="3"/>
  <c r="G75" i="3"/>
  <c r="H74" i="3"/>
  <c r="G74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H56" i="3"/>
  <c r="G56" i="3"/>
  <c r="H55" i="3"/>
  <c r="G55" i="3"/>
  <c r="H54" i="3"/>
  <c r="G54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B37" i="1" l="1"/>
  <c r="G37" i="1"/>
  <c r="F37" i="1"/>
  <c r="C37" i="1"/>
  <c r="J28" i="1"/>
  <c r="I37" i="1"/>
  <c r="H37" i="1"/>
  <c r="E37" i="1"/>
  <c r="J35" i="1"/>
  <c r="J25" i="1"/>
  <c r="J36" i="1"/>
  <c r="J34" i="1"/>
  <c r="J29" i="1"/>
  <c r="J33" i="1"/>
  <c r="J23" i="1"/>
  <c r="J19" i="1"/>
  <c r="J31" i="1"/>
  <c r="J30" i="1"/>
  <c r="J8" i="1"/>
  <c r="J21" i="1"/>
  <c r="J14" i="1"/>
  <c r="J13" i="1"/>
  <c r="J9" i="1"/>
  <c r="J12" i="1"/>
  <c r="D37" i="1"/>
  <c r="J10" i="1"/>
  <c r="J15" i="1"/>
  <c r="J20" i="1"/>
  <c r="J7" i="1"/>
  <c r="J26" i="1"/>
  <c r="J17" i="1"/>
  <c r="J24" i="1"/>
  <c r="J22" i="1"/>
  <c r="J32" i="1"/>
  <c r="J11" i="1"/>
  <c r="J16" i="1"/>
  <c r="J27" i="1"/>
  <c r="J18" i="1"/>
  <c r="P11" i="1"/>
  <c r="O11" i="1"/>
  <c r="N20" i="1"/>
  <c r="N17" i="1"/>
  <c r="N19" i="1"/>
  <c r="N18" i="1"/>
  <c r="N10" i="1"/>
  <c r="M8" i="1"/>
  <c r="M19" i="1"/>
  <c r="N8" i="1"/>
  <c r="M7" i="1"/>
  <c r="O12" i="1"/>
  <c r="M18" i="1"/>
  <c r="N7" i="1"/>
  <c r="N9" i="1"/>
  <c r="M10" i="1"/>
  <c r="M20" i="1"/>
  <c r="J6" i="1"/>
  <c r="M17" i="1"/>
  <c r="O3" i="1"/>
  <c r="M9" i="1"/>
  <c r="J37" i="1" l="1"/>
  <c r="N23" i="1"/>
  <c r="M23" i="1"/>
  <c r="P8" i="1"/>
  <c r="M13" i="1"/>
  <c r="P7" i="1"/>
  <c r="O7" i="1"/>
  <c r="O10" i="1"/>
  <c r="P10" i="1"/>
  <c r="O8" i="1"/>
  <c r="P9" i="1"/>
  <c r="O9" i="1"/>
  <c r="N13" i="1"/>
  <c r="O13" i="1" l="1"/>
</calcChain>
</file>

<file path=xl/sharedStrings.xml><?xml version="1.0" encoding="utf-8"?>
<sst xmlns="http://schemas.openxmlformats.org/spreadsheetml/2006/main" count="1729" uniqueCount="414">
  <si>
    <t>VERTRAGSEINGÄNGE (KW)</t>
  </si>
  <si>
    <t>CONVERSION RATE</t>
  </si>
  <si>
    <t>Verträge Gesamt</t>
  </si>
  <si>
    <t>Leads Gesamt</t>
  </si>
  <si>
    <t>Reife Conv. Rate</t>
  </si>
  <si>
    <t>Jahr-Filter:</t>
  </si>
  <si>
    <t>← Jahr wählen (Alle / 2025 / 2026)</t>
  </si>
  <si>
    <t>KW</t>
  </si>
  <si>
    <t>Ges.</t>
  </si>
  <si>
    <t>Sonst.</t>
  </si>
  <si>
    <t xml:space="preserve">  REIFE CONVERSION RATE  (Leads ≥ Maturity-Schwelle)</t>
  </si>
  <si>
    <t>KW 2</t>
  </si>
  <si>
    <t>Verkäufer</t>
  </si>
  <si>
    <t>Leads</t>
  </si>
  <si>
    <t>Vertr.</t>
  </si>
  <si>
    <t>Conv.%</t>
  </si>
  <si>
    <t>KW 3</t>
  </si>
  <si>
    <t>KW 4</t>
  </si>
  <si>
    <t>KW 5</t>
  </si>
  <si>
    <t>KW 6</t>
  </si>
  <si>
    <t>KW 7</t>
  </si>
  <si>
    <t>KW 8</t>
  </si>
  <si>
    <t>KW 9</t>
  </si>
  <si>
    <t>GESAMT</t>
  </si>
  <si>
    <t>KW 10</t>
  </si>
  <si>
    <t>KW 11</t>
  </si>
  <si>
    <t xml:space="preserve">  FRISCHE LEADS  (&lt; Maturity – noch in Reifephase)</t>
  </si>
  <si>
    <t>KW 12</t>
  </si>
  <si>
    <t>(reift)</t>
  </si>
  <si>
    <t>KW 13</t>
  </si>
  <si>
    <t>KW 14</t>
  </si>
  <si>
    <t>KW 15</t>
  </si>
  <si>
    <t>KW 16</t>
  </si>
  <si>
    <t>KW 17</t>
  </si>
  <si>
    <t>KW 18</t>
  </si>
  <si>
    <t>KW 19</t>
  </si>
  <si>
    <t>⏳</t>
  </si>
  <si>
    <t>KW 20</t>
  </si>
  <si>
    <t>KW 21</t>
  </si>
  <si>
    <t xml:space="preserve">  MONATSDETAIL je Verkäufer</t>
  </si>
  <si>
    <t>KW 22</t>
  </si>
  <si>
    <t>KW 23</t>
  </si>
  <si>
    <t>Okt 25</t>
  </si>
  <si>
    <t>KW 24</t>
  </si>
  <si>
    <t>Nov 25</t>
  </si>
  <si>
    <t>KW 25</t>
  </si>
  <si>
    <t>Dez 25</t>
  </si>
  <si>
    <t>KW 26</t>
  </si>
  <si>
    <t>Jan 26</t>
  </si>
  <si>
    <t>KW 27</t>
  </si>
  <si>
    <t>Feb 26</t>
  </si>
  <si>
    <t>KW 28</t>
  </si>
  <si>
    <t>Mär 26</t>
  </si>
  <si>
    <t>KW 29</t>
  </si>
  <si>
    <t>Apr 26</t>
  </si>
  <si>
    <t>KW 30</t>
  </si>
  <si>
    <t>Mai 26</t>
  </si>
  <si>
    <t>KW 31</t>
  </si>
  <si>
    <t>Jun 26</t>
  </si>
  <si>
    <t>KW 32</t>
  </si>
  <si>
    <t>GES.</t>
  </si>
  <si>
    <t>Nr.</t>
  </si>
  <si>
    <t>Datum</t>
  </si>
  <si>
    <t>Jahr</t>
  </si>
  <si>
    <t>Monat</t>
  </si>
  <si>
    <t>Institution / Partner</t>
  </si>
  <si>
    <t>Produktart</t>
  </si>
  <si>
    <t>Quelle</t>
  </si>
  <si>
    <t>Kampagnen-Monat</t>
  </si>
  <si>
    <t>Status</t>
  </si>
  <si>
    <t>Bemerkung</t>
  </si>
  <si>
    <t>07.01.2026</t>
  </si>
  <si>
    <t>Januar</t>
  </si>
  <si>
    <t>Gerd Henke</t>
  </si>
  <si>
    <t>Förderverein der FFW Alzey-Land</t>
  </si>
  <si>
    <t>Kühlanhänger</t>
  </si>
  <si>
    <t>Nicht erfasst</t>
  </si>
  <si>
    <t>Eingang</t>
  </si>
  <si>
    <t>1.FC Dautenbach 1958 e.V</t>
  </si>
  <si>
    <t>Torzähler mobil</t>
  </si>
  <si>
    <t>09.01.2026</t>
  </si>
  <si>
    <t>Fatima Eker</t>
  </si>
  <si>
    <t>Förderverein St. Florian Landau Arzheim e.V</t>
  </si>
  <si>
    <t>Kampagne</t>
  </si>
  <si>
    <t>12.01.2026</t>
  </si>
  <si>
    <t>Gabriella Reske</t>
  </si>
  <si>
    <t>Freiwillige Feuerwehr Triftern e.V</t>
  </si>
  <si>
    <t>20.01.2026</t>
  </si>
  <si>
    <t>Narrenzunft Frommern e.V</t>
  </si>
  <si>
    <t>21.01.2026</t>
  </si>
  <si>
    <t>Heidi Steinbacher</t>
  </si>
  <si>
    <t>Freiwillige Feuerwehr der Stadt Wörgl</t>
  </si>
  <si>
    <t>23.01.2026</t>
  </si>
  <si>
    <t>Freiwillige Feuerwehr Güglingen</t>
  </si>
  <si>
    <t>Facebook</t>
  </si>
  <si>
    <t>TSV Germania Dühren</t>
  </si>
  <si>
    <t>Direkt</t>
  </si>
  <si>
    <t>DRK Ortsverein Weingarten e.V</t>
  </si>
  <si>
    <t>26.01.2026</t>
  </si>
  <si>
    <t>TSV Strümpfelbach 1912 e.V</t>
  </si>
  <si>
    <t>FV Olympia Laupheim</t>
  </si>
  <si>
    <t>Bavarian Scare Crew e.V</t>
  </si>
  <si>
    <t>Festivalanhänger</t>
  </si>
  <si>
    <t>Instagram</t>
  </si>
  <si>
    <t>Sara Cierpial</t>
  </si>
  <si>
    <t>Förderverein des Salzlandtheaters Straßfurt</t>
  </si>
  <si>
    <t>Fahrzeug</t>
  </si>
  <si>
    <t>Folgeprojekt</t>
  </si>
  <si>
    <t>Defibrillator</t>
  </si>
  <si>
    <t>27.01.2026</t>
  </si>
  <si>
    <t>SV Stern Britz 1889 e.V</t>
  </si>
  <si>
    <t>Super Chat</t>
  </si>
  <si>
    <t>Eventanhänger</t>
  </si>
  <si>
    <t>28.01.2026</t>
  </si>
  <si>
    <t>Freiwillige Feuerwehr Wetzendorf</t>
  </si>
  <si>
    <t>Kulturbetrieb der Stadt Plauen</t>
  </si>
  <si>
    <t>Matthias Gugel</t>
  </si>
  <si>
    <t>Edeka Renningen</t>
  </si>
  <si>
    <t>03.02.2026</t>
  </si>
  <si>
    <t>Februar</t>
  </si>
  <si>
    <t>Georg Obradovic</t>
  </si>
  <si>
    <t>FSVWörth 1927 e.V</t>
  </si>
  <si>
    <t>Kameradschaftsverein Lö. Oberwohlsbach</t>
  </si>
  <si>
    <t>Schützenverein Schlingen</t>
  </si>
  <si>
    <t>Freiwillige Feuerwehr 1992 Effelder e.V</t>
  </si>
  <si>
    <t>Hochwasseranhänger</t>
  </si>
  <si>
    <t>05.02.2026</t>
  </si>
  <si>
    <t>SG Eder e.V</t>
  </si>
  <si>
    <t>Trägerverein Festhalle Gillersheim</t>
  </si>
  <si>
    <t>SVTapfer 06 Leipzig</t>
  </si>
  <si>
    <t>FSV Bretnig- Hauswalde e.V</t>
  </si>
  <si>
    <t>First Responder Deutschland</t>
  </si>
  <si>
    <t>Landjugend Trachtengruppe Ballendorf</t>
  </si>
  <si>
    <t>09.02.2026</t>
  </si>
  <si>
    <t>Nicole Schmid</t>
  </si>
  <si>
    <t>Verein der Sportfreunde Spardorf e.V</t>
  </si>
  <si>
    <t>Förderverein FFW Reicholzheim e.V</t>
  </si>
  <si>
    <t>Förderverein d. Feuerwehr Mackenrode e.V</t>
  </si>
  <si>
    <t>10.02.2026</t>
  </si>
  <si>
    <t>Gemeinde Lenting</t>
  </si>
  <si>
    <t>Helping Hands oder Rudis Netzwerk</t>
  </si>
  <si>
    <t>Hoffnung auf Rädern</t>
  </si>
  <si>
    <t>11.02.2026</t>
  </si>
  <si>
    <t>SoccerLife Düren e.V</t>
  </si>
  <si>
    <t>Sportschützenverein Dielheim</t>
  </si>
  <si>
    <t>Jugendfeuerwehr Hüttlingen</t>
  </si>
  <si>
    <t>16.02.2026</t>
  </si>
  <si>
    <t>Freiwillige FFW Stadt Creußen</t>
  </si>
  <si>
    <t>1. FC Iphofen</t>
  </si>
  <si>
    <t>Kultur und Heimatverein Rauenstein</t>
  </si>
  <si>
    <t>DLRG Ortsgruppe Schwanau e.V</t>
  </si>
  <si>
    <t>17.02.2026</t>
  </si>
  <si>
    <t>Daniela Knopke</t>
  </si>
  <si>
    <t>V-Baumarkt Landsberg</t>
  </si>
  <si>
    <t>Kassenbildschirm</t>
  </si>
  <si>
    <t>Förderverein Feuerwehr Laupheim e.V</t>
  </si>
  <si>
    <t>23.02.2026</t>
  </si>
  <si>
    <t>Feuerwehrverein Despetal e.V</t>
  </si>
  <si>
    <t>24.02.2026</t>
  </si>
  <si>
    <t>Uli Keil</t>
  </si>
  <si>
    <t>Sportverein Bonlanden e.V</t>
  </si>
  <si>
    <t>Torzähler Plus</t>
  </si>
  <si>
    <t>Drilan Veseli</t>
  </si>
  <si>
    <t>Pflegeheim Fritz</t>
  </si>
  <si>
    <t>26.02.2026</t>
  </si>
  <si>
    <t>Freiwillige Feuerwehr Affaltern e.V</t>
  </si>
  <si>
    <t>02.03.2026</t>
  </si>
  <si>
    <t>März</t>
  </si>
  <si>
    <t>Gemeinde Friemar</t>
  </si>
  <si>
    <t>Feuerwehr Vach</t>
  </si>
  <si>
    <t>Ballonsport die Pälzer</t>
  </si>
  <si>
    <t>03.03.2026</t>
  </si>
  <si>
    <t>Kreisjugendfeuerwehr Goslar</t>
  </si>
  <si>
    <t>Feuerwehr Grünberg Mitte</t>
  </si>
  <si>
    <t>05.03.2026</t>
  </si>
  <si>
    <t>Salvatore Domante</t>
  </si>
  <si>
    <t>Freiwillige Feuerwehr Breitenbach e.V</t>
  </si>
  <si>
    <t>DJK SV Tinnen</t>
  </si>
  <si>
    <t>DRK OV Bad Ems</t>
  </si>
  <si>
    <t>10.03.2026</t>
  </si>
  <si>
    <t>Förderverein der FFW Albstadt Abt. Ebingen</t>
  </si>
  <si>
    <t>Caritas Sozialstation St. Johannes e.V</t>
  </si>
  <si>
    <t>Förderverein Feuerwehr Arle</t>
  </si>
  <si>
    <t>FV Mönchberg e.V</t>
  </si>
  <si>
    <t>Waldenfelser Nachtschreck</t>
  </si>
  <si>
    <t>11.03.2026</t>
  </si>
  <si>
    <t>Freiwillige Feuerwehr Mainsbaum</t>
  </si>
  <si>
    <t>12.03.2026</t>
  </si>
  <si>
    <t>DRK Kreisverband Nürtingen Kirchheim Teck</t>
  </si>
  <si>
    <t>13.03.2026</t>
  </si>
  <si>
    <t>Freiwillige Feuerwehr Steinsdorf</t>
  </si>
  <si>
    <t>17.03.2026</t>
  </si>
  <si>
    <t>Sozialwerk Bethesda - Haus Salem</t>
  </si>
  <si>
    <t>evenzkreis e.V</t>
  </si>
  <si>
    <t>Neulermer Narren 1906 e.V</t>
  </si>
  <si>
    <t>19.03.2026</t>
  </si>
  <si>
    <t>Förderverein FFW Sandweier e.V</t>
  </si>
  <si>
    <t>Förderverein der FFW Neukloster e.V</t>
  </si>
  <si>
    <t>THW Herlferverein Wardenburg e.V</t>
  </si>
  <si>
    <t>20.03.2026</t>
  </si>
  <si>
    <t>Feuerwehrförderverein Hausen e.V</t>
  </si>
  <si>
    <t>26.03.2026</t>
  </si>
  <si>
    <t>Musikverein Ringschnait</t>
  </si>
  <si>
    <t>Neulermer Schlierbachfetzer</t>
  </si>
  <si>
    <t>07.04.2026</t>
  </si>
  <si>
    <t>April</t>
  </si>
  <si>
    <t>SV Kleinochsenfurt 1929/49 e.V</t>
  </si>
  <si>
    <t>Freiwillige Feuerwehr Rudelstetten e.V</t>
  </si>
  <si>
    <t>SV Plüderhausen e.V</t>
  </si>
  <si>
    <t>Kloster- Hexen Alpirsbach e.V</t>
  </si>
  <si>
    <t>Weitinger Vereinsgemeinschaft e.V</t>
  </si>
  <si>
    <t>Feuerwehr Lahnau e.V</t>
  </si>
  <si>
    <t>08.04.2026</t>
  </si>
  <si>
    <t>Freiwillige Feuerwehr Aislingen</t>
  </si>
  <si>
    <t>09.04.2026</t>
  </si>
  <si>
    <t>VFL Oberjettingen e.V</t>
  </si>
  <si>
    <t xml:space="preserve">Freiwillige Feuerwehr Toppenstedt </t>
  </si>
  <si>
    <t>Gemeinde Friemar - Feuerwehr Friemar</t>
  </si>
  <si>
    <t>Musikverein Mittelbuch e.V</t>
  </si>
  <si>
    <t>Förderverein FFW Bühne</t>
  </si>
  <si>
    <t>Brandschutzmobil</t>
  </si>
  <si>
    <t>DLRG Tangermuende e.V</t>
  </si>
  <si>
    <t>Eventmobil</t>
  </si>
  <si>
    <t>Éingang</t>
  </si>
  <si>
    <t>Foerderverein HvO FW Eigeltingen</t>
  </si>
  <si>
    <t>Loeschzug Niedersfeld e.V</t>
  </si>
  <si>
    <t>Feuerwehr Schmidmühlen</t>
  </si>
  <si>
    <t>S.O.S Hoffnung für Pfötchen</t>
  </si>
  <si>
    <t>THW Ortsverband Haßmersheim</t>
  </si>
  <si>
    <t>Oli Kaufmann</t>
  </si>
  <si>
    <t>SV Althegnenberg</t>
  </si>
  <si>
    <t>Torzähler Mobil</t>
  </si>
  <si>
    <t>Sonstige</t>
  </si>
  <si>
    <t>Dejan Prijovic</t>
  </si>
  <si>
    <t>Freiwillige Feuerwehr Loch</t>
  </si>
  <si>
    <t>Stiftung Kinderhilfe Fürstenfeldbruck</t>
  </si>
  <si>
    <t>Diakoniestation Albachtal e.V</t>
  </si>
  <si>
    <t>DLRG Ortsgruppe Rastede e.V</t>
  </si>
  <si>
    <t>Förderverein der FFW Sangerhausen</t>
  </si>
  <si>
    <t>Trachtenmusikkapelle Tauplitz</t>
  </si>
  <si>
    <t xml:space="preserve">Anhänger </t>
  </si>
  <si>
    <t>Freiwillige Feuerwehr Rodesgrün</t>
  </si>
  <si>
    <t>Mai</t>
  </si>
  <si>
    <t>Freiwillige Feuer wehr Holtensen</t>
  </si>
  <si>
    <t>Oktober</t>
  </si>
  <si>
    <t>TUS Reppensedt 1962 e.V</t>
  </si>
  <si>
    <t>Schwartauer Schützengilde</t>
  </si>
  <si>
    <t xml:space="preserve">Förderverein  FFW Horrenberg Balzenfeld </t>
  </si>
  <si>
    <t>Feuerwehr Rosenfeld</t>
  </si>
  <si>
    <t>Feuerwehr Beuron</t>
  </si>
  <si>
    <t>Verein für soziale Integration</t>
  </si>
  <si>
    <t>Freiwillige Feuerwehr Hohn e.V</t>
  </si>
  <si>
    <t xml:space="preserve">Kühlanhänger </t>
  </si>
  <si>
    <t>Freiwillige Feuerwehr Sprendlingen</t>
  </si>
  <si>
    <t>DRK Ortsverein Limburgerhof e.V.</t>
  </si>
  <si>
    <t>Vergessene Seelen Sambuca</t>
  </si>
  <si>
    <t>EDEKA Gernoth, Lorch</t>
  </si>
  <si>
    <t>Defi mit Tafel</t>
  </si>
  <si>
    <t>26.05.2026</t>
  </si>
  <si>
    <t>E-Bike-Ladestation</t>
  </si>
  <si>
    <t>AST Süßen</t>
  </si>
  <si>
    <t xml:space="preserve">März </t>
  </si>
  <si>
    <t>SC Urbach e.V.</t>
  </si>
  <si>
    <t>Feuerwehrverein Borau e.V.</t>
  </si>
  <si>
    <t>01.06.2026</t>
  </si>
  <si>
    <t>Juni</t>
  </si>
  <si>
    <t>Freiwillige Feuerwehr Weitramsdorf e.V.</t>
  </si>
  <si>
    <t>Kühl anhänger</t>
  </si>
  <si>
    <t>THW-Jugend Frankenberg e.V.</t>
  </si>
  <si>
    <t>SV Sinzheim e.V.</t>
  </si>
  <si>
    <t xml:space="preserve">Defi mit Tafel </t>
  </si>
  <si>
    <t>14.04.2026</t>
  </si>
  <si>
    <t>Gemeide Friemar- Feuerwehr Friemar</t>
  </si>
  <si>
    <t>Proj.-Nr.: 2604053135</t>
  </si>
  <si>
    <t>E-Bike-Ladestation mit Tafel</t>
  </si>
  <si>
    <t>Proj.-Nr.: 2605053165</t>
  </si>
  <si>
    <t>Proj.-Nr.: 2606053169</t>
  </si>
  <si>
    <t>Proj.-Nr.: 2606053170</t>
  </si>
  <si>
    <t>24.06.2026</t>
  </si>
  <si>
    <t>Stadt Siegen</t>
  </si>
  <si>
    <t>Proj.-Nr.: 2606053173</t>
  </si>
  <si>
    <t>REWE Ströbel Regional Handels GmbH</t>
  </si>
  <si>
    <t>Proj.-Nr.: 2606053174</t>
  </si>
  <si>
    <t>Stadt Werra Suhl Tal Stadtjugenfeuerwehr</t>
  </si>
  <si>
    <t>Proj.-Nr.: 2606053175</t>
  </si>
  <si>
    <t>SV HNK Slaven Stuttgart 76 e.V</t>
  </si>
  <si>
    <t>Proj.-Nr.: 2606053176</t>
  </si>
  <si>
    <t>Proj.-Nr.: 2606053177</t>
  </si>
  <si>
    <t>TSV Neuried e.V</t>
  </si>
  <si>
    <t>Proj.-Nr.: 2606053178</t>
  </si>
  <si>
    <t>Hessisches Landestheater Marburg GmbH</t>
  </si>
  <si>
    <t>Proj.-Nr.: 2606053179</t>
  </si>
  <si>
    <t>DRK Ortsverein Esslingen e.V</t>
  </si>
  <si>
    <t>Proj.-Nr.: 2606053180</t>
  </si>
  <si>
    <t>Freiwillige Feuerwehr Rieneck 1869 e.V</t>
  </si>
  <si>
    <t>Proj.-Nr.: 2606053181</t>
  </si>
  <si>
    <t>Feuerwehr Waltenhausen e.V</t>
  </si>
  <si>
    <t>Proj.-Nr.: 2606053182</t>
  </si>
  <si>
    <t>Freiwillige Feuerwehr Ottorfszell</t>
  </si>
  <si>
    <t>Proj.-Nr.: 2606053183</t>
  </si>
  <si>
    <t>David Eirich</t>
  </si>
  <si>
    <t>Freiwillige Feuerwehr Oberdachstetten eV</t>
  </si>
  <si>
    <t>Proj.-Nr.: 2606053185</t>
  </si>
  <si>
    <t>Dorfverein Dorfleben Richelbach eV</t>
  </si>
  <si>
    <t>Proj.-Nr.: 2606053186</t>
  </si>
  <si>
    <t>Fußballverein Kirchheim a Neckar 1919 eV</t>
  </si>
  <si>
    <t>Landingpage</t>
  </si>
  <si>
    <t>Proj.-Nr.: 2606053187</t>
  </si>
  <si>
    <t>Freiwillige Feuerwehr Priesendorf e.V</t>
  </si>
  <si>
    <t>Proj.-Nr.: 2606053188</t>
  </si>
  <si>
    <t>OGV Steinsfeld</t>
  </si>
  <si>
    <t>Proj.-Nr.: 2606053189</t>
  </si>
  <si>
    <t>Freiwillige Feuerwehr Sandberg e.V</t>
  </si>
  <si>
    <t>Proj.-Nr.: 2606053190</t>
  </si>
  <si>
    <t>Freiwillige Feuerwehr Riedenberg</t>
  </si>
  <si>
    <t>Proj.-Nr.: 2606053191</t>
  </si>
  <si>
    <t>26.06.2026</t>
  </si>
  <si>
    <t>DRK Ortsverein Calw</t>
  </si>
  <si>
    <t>Proj.-Nr.: 2606053192</t>
  </si>
  <si>
    <t>29.06.2026</t>
  </si>
  <si>
    <t>TSV Wimsheim</t>
  </si>
  <si>
    <t>Proj.-Nr.: 2606053193</t>
  </si>
  <si>
    <t>Freiwillige Feuerwehr Matzersreuth e.V</t>
  </si>
  <si>
    <t>Proj.-Nr.: 2606053194</t>
  </si>
  <si>
    <t>DRK OV Bliesdahlheim</t>
  </si>
  <si>
    <t>Proj.-Nr.: 2606053195</t>
  </si>
  <si>
    <t>01.07.2026</t>
  </si>
  <si>
    <t>Juli</t>
  </si>
  <si>
    <t>Luca Schreiber</t>
  </si>
  <si>
    <t>FV 1920 Flonheim e.V</t>
  </si>
  <si>
    <t>Proj.-Nr.: 2607053196</t>
  </si>
  <si>
    <t>02.07.2026</t>
  </si>
  <si>
    <t>Musikverein Zimmern</t>
  </si>
  <si>
    <t>Proj.-Nr.: 2607053197</t>
  </si>
  <si>
    <t>Tus Ormersheim</t>
  </si>
  <si>
    <t>Proj.-Nr.: 2607053198</t>
  </si>
  <si>
    <t>Malteser Hilfdienst e.V Freiburg</t>
  </si>
  <si>
    <t>Proj.-Nr.: 2607053199</t>
  </si>
  <si>
    <t>Feuerwehr Wüstenrot</t>
  </si>
  <si>
    <t>Proj.-Nr.: 2607053200</t>
  </si>
  <si>
    <t>Freiwillige Feuerwehr Groß Parin</t>
  </si>
  <si>
    <t>Proj.-Nr.: 2607053201</t>
  </si>
  <si>
    <t>03.07.2026</t>
  </si>
  <si>
    <t>Freiwillige Feuerwehr Eibelstadt e.V</t>
  </si>
  <si>
    <t>Proj.-Nr.: 2607053202</t>
  </si>
  <si>
    <t>Spielmannszug Rödemis e.V</t>
  </si>
  <si>
    <t>Proj.-Nr.: 2607053203</t>
  </si>
  <si>
    <t>Veranstaltungsring Berkheim e.V</t>
  </si>
  <si>
    <t>Proj.-Nr.: 2607053204</t>
  </si>
  <si>
    <t>Spielmobil</t>
  </si>
  <si>
    <t>Proj.-Nr.: 2607053205</t>
  </si>
  <si>
    <t>Proj.-Nr.: 2607053206</t>
  </si>
  <si>
    <t>Musikverein Wain e.V</t>
  </si>
  <si>
    <t>Proj.-Nr.: 2607053207</t>
  </si>
  <si>
    <t>SC Germania Nürnberg e.V</t>
  </si>
  <si>
    <t>Proj.-Nr.: 2607053208</t>
  </si>
  <si>
    <t>MTV 1846 Gießen Abt. American Football</t>
  </si>
  <si>
    <t>Proj.-Nr.: 2607053209</t>
  </si>
  <si>
    <t>Freiwillige Feuerwehr Unterthal</t>
  </si>
  <si>
    <t>Proj.-Nr.: 2607053210</t>
  </si>
  <si>
    <t>Freiwillige Feuerwehr Schlammersdorf e.V</t>
  </si>
  <si>
    <t>Proj.-Nr.: 2607053211</t>
  </si>
  <si>
    <t>ROHDATEN – Leads &amp; Conversion Rate</t>
  </si>
  <si>
    <t>→ Leads pro Monat + Verkäufer.</t>
  </si>
  <si>
    <t>Verträge</t>
  </si>
  <si>
    <t>Stornos</t>
  </si>
  <si>
    <t>Conv. Rate</t>
  </si>
  <si>
    <t>November</t>
  </si>
  <si>
    <t>Dezember</t>
  </si>
  <si>
    <t>STEUERUNG – Zentrale Verkäufer-Verwaltung</t>
  </si>
  <si>
    <t>→ Hier alle Verkäufer pflegen. Dashboard liest automatisch. GELBE FELDER = bearbeitbar.</t>
  </si>
  <si>
    <t xml:space="preserve">  HAUPTVERKÄUFER (für Conversion-Rate-Block, max. 6 Slots)</t>
  </si>
  <si>
    <t>Vollname (für Formeln)</t>
  </si>
  <si>
    <t>Anzeige (Dashboard)</t>
  </si>
  <si>
    <t>Fatima</t>
  </si>
  <si>
    <t>Aktiv</t>
  </si>
  <si>
    <t>Gabriella</t>
  </si>
  <si>
    <t>Gerd</t>
  </si>
  <si>
    <t>David</t>
  </si>
  <si>
    <t>Aktiv (NEU)</t>
  </si>
  <si>
    <t xml:space="preserve">  ALLE AKTIVEN VERKÄUFER (für KW-Tabelle, max. 8 Slots)</t>
  </si>
  <si>
    <t>Hinweis</t>
  </si>
  <si>
    <t>Nicole</t>
  </si>
  <si>
    <t>Drilan</t>
  </si>
  <si>
    <t>Salvat.</t>
  </si>
  <si>
    <t>← Slot 8 nicht nutzbar (reserviert für 'Sonstige')</t>
  </si>
  <si>
    <t xml:space="preserve">  EINSTELLUNGEN</t>
  </si>
  <si>
    <t>Lead Maturity (Tage)</t>
  </si>
  <si>
    <t>Reife-Schwelle für Conv-Rate (B2B-Standard: 60-90)</t>
  </si>
  <si>
    <t>Standard-Jahr-Filter</t>
  </si>
  <si>
    <t>Wird beim Öffnen angezeigt</t>
  </si>
  <si>
    <t xml:space="preserve">Musikverein Rietenau </t>
  </si>
  <si>
    <t>Feuerwehr Cramberg</t>
  </si>
  <si>
    <t>FFw Mühlhausen</t>
  </si>
  <si>
    <t>Musikkapelle Fischbach</t>
  </si>
  <si>
    <t xml:space="preserve">Musikvereins Kalterherberg </t>
  </si>
  <si>
    <t xml:space="preserve">Musikvereins Baiertal </t>
  </si>
  <si>
    <t>Torzähler</t>
  </si>
  <si>
    <t>OSC Vollmar Fußball</t>
  </si>
  <si>
    <t>FF Müggelheim e.V.</t>
  </si>
  <si>
    <t>Förderverein der LG Breinig e.V.</t>
  </si>
  <si>
    <t xml:space="preserve">Deutsches-Rotes-Kreuz Ortsverein Maintal </t>
  </si>
  <si>
    <t xml:space="preserve">KW 30 </t>
  </si>
  <si>
    <t xml:space="preserve">RK Ortsvereinigung Oberursel e.V. </t>
  </si>
  <si>
    <t xml:space="preserve">Freiwillige Feuerwehr Raindorf-Kagenhof </t>
  </si>
  <si>
    <t xml:space="preserve">Freiwillige Feuerwehr Vordorf e.V. Tröstau </t>
  </si>
  <si>
    <t xml:space="preserve">KW 24 </t>
  </si>
  <si>
    <t>Feuerwehr Neunkirchen</t>
  </si>
  <si>
    <t>Deutsches-Rotes-Kreuz Ortsverein Maintal</t>
  </si>
  <si>
    <t>DRK Ortsvereinigung Oberursel e.V.</t>
  </si>
  <si>
    <t>Freiwillige Feuerwehr Raindorf-Kagenhof</t>
  </si>
  <si>
    <t>Freiwillige Feuerwehr Vordorf e.V. Tröstau</t>
  </si>
  <si>
    <t xml:space="preserve">Landestheater Schwaben </t>
  </si>
  <si>
    <t xml:space="preserve">SV Kohlbachtal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</si>
</sst>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d/m/yyyy"/>
    <numFmt numFmtId="166" formatCode="m/d/yyyy"/>
    <numFmt numFmtId="167" formatCode="0.00\ %"/>
  </numFmts>
  <fonts count="45" x14ac:knownFonts="1">
    <font>
      <sz val="11"/>
      <color rgb="FF000000"/>
      <name val="Calibri"/>
      <family val="2"/>
      <charset val="1"/>
    </font>
    <font>
      <b/>
      <sz val="13"/>
      <color rgb="FFFFFFFF"/>
      <name val="Arial"/>
      <family val="2"/>
    </font>
    <font>
      <sz val="8"/>
      <color rgb="FF94A3B8"/>
      <name val="Arial"/>
      <family val="2"/>
    </font>
    <font>
      <b/>
      <sz val="20"/>
      <color rgb="FF2E5090"/>
      <name val="Arial"/>
      <family val="2"/>
    </font>
    <font>
      <b/>
      <sz val="20"/>
      <color rgb="FF3B82F6"/>
      <name val="Arial"/>
      <family val="2"/>
    </font>
    <font>
      <b/>
      <sz val="20"/>
      <color rgb="FFC00000"/>
      <name val="Arial"/>
      <family val="2"/>
    </font>
    <font>
      <b/>
      <sz val="11"/>
      <color rgb="FF1B2A4A"/>
      <name val="Arial"/>
      <family val="2"/>
    </font>
    <font>
      <b/>
      <sz val="14"/>
      <color rgb="FFFFFFFF"/>
      <name val="Arial"/>
      <family val="2"/>
    </font>
    <font>
      <i/>
      <sz val="9"/>
      <color rgb="FF666666"/>
      <name val="Arial"/>
      <family val="2"/>
    </font>
    <font>
      <i/>
      <sz val="10"/>
      <color rgb="FF548235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b/>
      <sz val="10"/>
      <color rgb="FF2E509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0"/>
      <color rgb="FF548235"/>
      <name val="Arial"/>
      <family val="2"/>
    </font>
    <font>
      <b/>
      <sz val="11"/>
      <name val="Arial"/>
      <family val="2"/>
    </font>
    <font>
      <b/>
      <sz val="10"/>
      <color rgb="FFED7D31"/>
      <name val="Arial"/>
      <family val="2"/>
    </font>
    <font>
      <sz val="8"/>
      <color rgb="FF66666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4"/>
      <color rgb="FFFFFFFF"/>
      <name val="Arial"/>
      <family val="2"/>
      <charset val="1"/>
    </font>
    <font>
      <i/>
      <sz val="9"/>
      <color rgb="FF548235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  <charset val="1"/>
    </font>
    <font>
      <b/>
      <sz val="10"/>
      <color rgb="FF808080"/>
      <name val="Arial"/>
      <family val="2"/>
      <charset val="1"/>
    </font>
    <font>
      <sz val="10"/>
      <name val="Arial"/>
      <family val="2"/>
    </font>
    <font>
      <b/>
      <sz val="10"/>
      <color rgb="FF4472C4"/>
      <name val="Arial"/>
      <family val="2"/>
      <charset val="1"/>
    </font>
    <font>
      <b/>
      <sz val="10"/>
      <color rgb="FF1D4ED8"/>
      <name val="Arial"/>
      <family val="2"/>
      <charset val="1"/>
    </font>
    <font>
      <b/>
      <sz val="10"/>
      <color rgb="FF548235"/>
      <name val="Arial"/>
      <family val="2"/>
      <charset val="1"/>
    </font>
    <font>
      <b/>
      <sz val="10"/>
      <color rgb="FFE11D48"/>
      <name val="Arial"/>
      <family val="2"/>
      <charset val="1"/>
    </font>
    <font>
      <b/>
      <sz val="10"/>
      <color rgb="FFED7D31"/>
      <name val="Arial"/>
      <family val="2"/>
      <charset val="1"/>
    </font>
    <font>
      <b/>
      <sz val="10"/>
      <color rgb="FF7030A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808080"/>
      <name val="Arial"/>
      <family val="2"/>
    </font>
    <font>
      <b/>
      <sz val="10"/>
      <color rgb="FF4472C4"/>
      <name val="Arial"/>
      <family val="2"/>
    </font>
    <font>
      <b/>
      <sz val="10"/>
      <color rgb="FFE11D48"/>
      <name val="Arial"/>
      <family val="2"/>
    </font>
    <font>
      <b/>
      <sz val="10"/>
      <color rgb="FF9333EA"/>
      <name val="Arial"/>
      <family val="2"/>
    </font>
    <font>
      <b/>
      <sz val="10"/>
      <color rgb="FF0070C0"/>
      <name val="Arial"/>
      <family val="2"/>
    </font>
    <font>
      <sz val="9"/>
      <color rgb="FF548235"/>
      <name val="Arial"/>
      <family val="2"/>
    </font>
    <font>
      <sz val="9"/>
      <color rgb="FF808080"/>
      <name val="Arial"/>
      <family val="2"/>
    </font>
    <font>
      <b/>
      <sz val="11"/>
      <color rgb="FF0070C0"/>
      <name val="Arial"/>
      <family val="2"/>
    </font>
    <font>
      <sz val="12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E5090"/>
        <bgColor rgb="FF1D4ED8"/>
      </patternFill>
    </fill>
    <fill>
      <patternFill patternType="solid">
        <fgColor rgb="FF548235"/>
        <bgColor rgb="FF666666"/>
      </patternFill>
    </fill>
    <fill>
      <patternFill patternType="solid">
        <fgColor rgb="FFFFC000"/>
        <bgColor rgb="FFFF9900"/>
      </patternFill>
    </fill>
    <fill>
      <patternFill patternType="solid">
        <fgColor rgb="FFE8F5E9"/>
        <bgColor rgb="FFF2F2F2"/>
      </patternFill>
    </fill>
    <fill>
      <patternFill patternType="solid">
        <fgColor rgb="FFF2F2F2"/>
        <bgColor rgb="FFE8F5E9"/>
      </patternFill>
    </fill>
    <fill>
      <patternFill patternType="solid">
        <fgColor rgb="FF1B2A4A"/>
        <bgColor rgb="FF333300"/>
      </patternFill>
    </fill>
    <fill>
      <patternFill patternType="solid">
        <fgColor rgb="FFFFFFFF"/>
        <bgColor rgb="FFF2F2F2"/>
      </patternFill>
    </fill>
    <fill>
      <patternFill patternType="solid">
        <fgColor rgb="FFED7D31"/>
        <bgColor rgb="FFFF8080"/>
      </patternFill>
    </fill>
    <fill>
      <patternFill patternType="solid">
        <fgColor rgb="FFFFE5CC"/>
        <bgColor rgb="FFFFF2CC"/>
      </patternFill>
    </fill>
    <fill>
      <patternFill patternType="solid">
        <fgColor rgb="FFFFF2CC"/>
        <bgColor rgb="FFFFE5CC"/>
      </patternFill>
    </fill>
  </fills>
  <borders count="5">
    <border>
      <left/>
      <right/>
      <top/>
      <bottom/>
      <diagonal/>
    </border>
    <border>
      <left style="medium">
        <color rgb="FF1B2A4A"/>
      </left>
      <right style="medium">
        <color rgb="FF1B2A4A"/>
      </right>
      <top style="medium">
        <color rgb="FF1B2A4A"/>
      </top>
      <bottom style="medium">
        <color rgb="FF1B2A4A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8" fillId="0" borderId="0" xfId="0" applyFont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3" fontId="13" fillId="6" borderId="2" xfId="0" applyNumberFormat="1" applyFont="1" applyFill="1" applyBorder="1" applyAlignment="1">
      <alignment horizontal="center" vertical="center"/>
    </xf>
    <xf numFmtId="3" fontId="14" fillId="6" borderId="2" xfId="0" applyNumberFormat="1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3" fontId="13" fillId="8" borderId="2" xfId="0" applyNumberFormat="1" applyFont="1" applyFill="1" applyBorder="1" applyAlignment="1">
      <alignment horizontal="center" vertical="center"/>
    </xf>
    <xf numFmtId="3" fontId="14" fillId="8" borderId="2" xfId="0" applyNumberFormat="1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3" fontId="16" fillId="8" borderId="2" xfId="0" applyNumberFormat="1" applyFont="1" applyFill="1" applyBorder="1" applyAlignment="1">
      <alignment horizontal="center" vertical="center"/>
    </xf>
    <xf numFmtId="164" fontId="17" fillId="8" borderId="2" xfId="0" applyNumberFormat="1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3" fontId="16" fillId="6" borderId="2" xfId="0" applyNumberFormat="1" applyFont="1" applyFill="1" applyBorder="1" applyAlignment="1">
      <alignment horizontal="center" vertical="center"/>
    </xf>
    <xf numFmtId="164" fontId="17" fillId="6" borderId="2" xfId="0" applyNumberFormat="1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3" fontId="10" fillId="7" borderId="2" xfId="0" applyNumberFormat="1" applyFont="1" applyFill="1" applyBorder="1" applyAlignment="1">
      <alignment horizontal="center" vertical="center"/>
    </xf>
    <xf numFmtId="164" fontId="10" fillId="7" borderId="2" xfId="0" applyNumberFormat="1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3" fontId="14" fillId="10" borderId="2" xfId="0" applyNumberFormat="1" applyFont="1" applyFill="1" applyBorder="1" applyAlignment="1">
      <alignment horizontal="center" vertical="center"/>
    </xf>
    <xf numFmtId="3" fontId="18" fillId="10" borderId="2" xfId="0" applyNumberFormat="1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center" vertical="center"/>
    </xf>
    <xf numFmtId="3" fontId="20" fillId="8" borderId="2" xfId="0" applyNumberFormat="1" applyFont="1" applyFill="1" applyBorder="1" applyAlignment="1">
      <alignment horizontal="center" vertical="center"/>
    </xf>
    <xf numFmtId="164" fontId="20" fillId="8" borderId="2" xfId="0" applyNumberFormat="1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3" fontId="20" fillId="6" borderId="2" xfId="0" applyNumberFormat="1" applyFont="1" applyFill="1" applyBorder="1" applyAlignment="1">
      <alignment horizontal="center" vertical="center"/>
    </xf>
    <xf numFmtId="164" fontId="20" fillId="6" borderId="2" xfId="0" applyNumberFormat="1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3" fontId="11" fillId="7" borderId="2" xfId="0" applyNumberFormat="1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/>
    </xf>
    <xf numFmtId="0" fontId="26" fillId="6" borderId="2" xfId="0" applyFont="1" applyFill="1" applyBorder="1" applyAlignment="1">
      <alignment horizontal="left" vertical="center" wrapText="1"/>
    </xf>
    <xf numFmtId="0" fontId="27" fillId="6" borderId="2" xfId="0" applyFont="1" applyFill="1" applyBorder="1" applyAlignment="1">
      <alignment horizontal="center" vertical="center"/>
    </xf>
    <xf numFmtId="0" fontId="28" fillId="6" borderId="2" xfId="0" applyFont="1" applyFill="1" applyBorder="1" applyAlignment="1">
      <alignment horizontal="center" vertical="center"/>
    </xf>
    <xf numFmtId="0" fontId="26" fillId="8" borderId="2" xfId="0" applyFont="1" applyFill="1" applyBorder="1" applyAlignment="1">
      <alignment horizontal="center" vertical="center"/>
    </xf>
    <xf numFmtId="0" fontId="26" fillId="8" borderId="2" xfId="0" applyFont="1" applyFill="1" applyBorder="1" applyAlignment="1">
      <alignment horizontal="left" vertical="center" wrapText="1"/>
    </xf>
    <xf numFmtId="0" fontId="27" fillId="8" borderId="2" xfId="0" applyFont="1" applyFill="1" applyBorder="1" applyAlignment="1">
      <alignment horizontal="center" vertical="center"/>
    </xf>
    <xf numFmtId="0" fontId="28" fillId="8" borderId="2" xfId="0" applyFont="1" applyFill="1" applyBorder="1" applyAlignment="1">
      <alignment horizontal="center" vertical="center"/>
    </xf>
    <xf numFmtId="0" fontId="29" fillId="6" borderId="2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center" vertical="center"/>
    </xf>
    <xf numFmtId="0" fontId="31" fillId="8" borderId="2" xfId="0" applyFont="1" applyFill="1" applyBorder="1" applyAlignment="1">
      <alignment horizontal="center" vertical="center"/>
    </xf>
    <xf numFmtId="0" fontId="32" fillId="8" borderId="2" xfId="0" applyFont="1" applyFill="1" applyBorder="1" applyAlignment="1">
      <alignment horizontal="center" vertical="center"/>
    </xf>
    <xf numFmtId="0" fontId="33" fillId="6" borderId="2" xfId="0" applyFont="1" applyFill="1" applyBorder="1" applyAlignment="1">
      <alignment horizontal="center" vertical="center"/>
    </xf>
    <xf numFmtId="0" fontId="33" fillId="8" borderId="2" xfId="0" applyFont="1" applyFill="1" applyBorder="1" applyAlignment="1">
      <alignment horizontal="center" vertical="center"/>
    </xf>
    <xf numFmtId="0" fontId="34" fillId="6" borderId="2" xfId="0" applyFont="1" applyFill="1" applyBorder="1" applyAlignment="1">
      <alignment horizontal="center" vertical="center"/>
    </xf>
    <xf numFmtId="0" fontId="34" fillId="8" borderId="2" xfId="0" applyFont="1" applyFill="1" applyBorder="1" applyAlignment="1">
      <alignment horizontal="center" vertical="center"/>
    </xf>
    <xf numFmtId="0" fontId="29" fillId="8" borderId="2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31" fillId="6" borderId="2" xfId="0" applyFont="1" applyFill="1" applyBorder="1" applyAlignment="1">
      <alignment horizontal="center" vertical="center"/>
    </xf>
    <xf numFmtId="0" fontId="35" fillId="6" borderId="2" xfId="0" applyFont="1" applyFill="1" applyBorder="1" applyAlignment="1">
      <alignment horizontal="center" vertical="center"/>
    </xf>
    <xf numFmtId="165" fontId="35" fillId="6" borderId="2" xfId="0" applyNumberFormat="1" applyFont="1" applyFill="1" applyBorder="1" applyAlignment="1">
      <alignment horizontal="center" vertical="center"/>
    </xf>
    <xf numFmtId="0" fontId="35" fillId="6" borderId="2" xfId="0" applyFont="1" applyFill="1" applyBorder="1" applyAlignment="1">
      <alignment horizontal="left" vertical="center" wrapText="1"/>
    </xf>
    <xf numFmtId="0" fontId="0" fillId="6" borderId="2" xfId="0" applyFill="1" applyBorder="1" applyAlignment="1">
      <alignment horizontal="center" vertical="center"/>
    </xf>
    <xf numFmtId="0" fontId="35" fillId="8" borderId="2" xfId="0" applyFont="1" applyFill="1" applyBorder="1" applyAlignment="1">
      <alignment horizontal="center" vertical="center"/>
    </xf>
    <xf numFmtId="165" fontId="35" fillId="8" borderId="2" xfId="0" applyNumberFormat="1" applyFont="1" applyFill="1" applyBorder="1" applyAlignment="1">
      <alignment horizontal="center" vertical="center"/>
    </xf>
    <xf numFmtId="0" fontId="35" fillId="8" borderId="2" xfId="0" applyFont="1" applyFill="1" applyBorder="1" applyAlignment="1">
      <alignment horizontal="left" vertical="center" wrapText="1"/>
    </xf>
    <xf numFmtId="0" fontId="0" fillId="8" borderId="2" xfId="0" applyFill="1" applyBorder="1" applyAlignment="1">
      <alignment horizontal="center" vertical="center"/>
    </xf>
    <xf numFmtId="165" fontId="0" fillId="8" borderId="2" xfId="0" applyNumberFormat="1" applyFill="1" applyBorder="1" applyAlignment="1">
      <alignment horizontal="center" vertical="center"/>
    </xf>
    <xf numFmtId="165" fontId="0" fillId="6" borderId="2" xfId="0" applyNumberFormat="1" applyFill="1" applyBorder="1" applyAlignment="1">
      <alignment horizontal="center" vertical="center"/>
    </xf>
    <xf numFmtId="0" fontId="0" fillId="8" borderId="2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166" fontId="0" fillId="6" borderId="2" xfId="0" applyNumberFormat="1" applyFill="1" applyBorder="1" applyAlignment="1">
      <alignment horizontal="center" vertical="center"/>
    </xf>
    <xf numFmtId="166" fontId="0" fillId="8" borderId="2" xfId="0" applyNumberFormat="1" applyFill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center" vertical="center"/>
    </xf>
    <xf numFmtId="0" fontId="36" fillId="0" borderId="0" xfId="0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28" fillId="6" borderId="2" xfId="0" applyFont="1" applyFill="1" applyBorder="1" applyAlignment="1">
      <alignment horizontal="left" vertical="center" wrapText="1"/>
    </xf>
    <xf numFmtId="0" fontId="36" fillId="6" borderId="2" xfId="0" applyFont="1" applyFill="1" applyBorder="1" applyAlignment="1">
      <alignment horizontal="center" vertical="center"/>
    </xf>
    <xf numFmtId="0" fontId="28" fillId="8" borderId="2" xfId="0" applyFont="1" applyFill="1" applyBorder="1" applyAlignment="1">
      <alignment horizontal="left" vertical="center" wrapText="1"/>
    </xf>
    <xf numFmtId="0" fontId="38" fillId="6" borderId="2" xfId="0" applyFont="1" applyFill="1" applyBorder="1" applyAlignment="1">
      <alignment horizontal="center" vertical="center"/>
    </xf>
    <xf numFmtId="0" fontId="37" fillId="8" borderId="2" xfId="0" applyFont="1" applyFill="1" applyBorder="1" applyAlignment="1">
      <alignment horizontal="center" vertical="center"/>
    </xf>
    <xf numFmtId="0" fontId="36" fillId="8" borderId="2" xfId="0" applyFont="1" applyFill="1" applyBorder="1" applyAlignment="1">
      <alignment horizontal="center" vertical="center"/>
    </xf>
    <xf numFmtId="0" fontId="37" fillId="6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39" fillId="8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39" fillId="6" borderId="2" xfId="0" applyFont="1" applyFill="1" applyBorder="1" applyAlignment="1">
      <alignment horizontal="center" vertical="center"/>
    </xf>
    <xf numFmtId="3" fontId="26" fillId="6" borderId="2" xfId="0" applyNumberFormat="1" applyFont="1" applyFill="1" applyBorder="1" applyAlignment="1">
      <alignment horizontal="center" vertical="center"/>
    </xf>
    <xf numFmtId="167" fontId="26" fillId="6" borderId="2" xfId="0" applyNumberFormat="1" applyFont="1" applyFill="1" applyBorder="1" applyAlignment="1">
      <alignment horizontal="center" vertical="center"/>
    </xf>
    <xf numFmtId="3" fontId="26" fillId="8" borderId="2" xfId="0" applyNumberFormat="1" applyFont="1" applyFill="1" applyBorder="1" applyAlignment="1">
      <alignment horizontal="center" vertical="center"/>
    </xf>
    <xf numFmtId="167" fontId="26" fillId="8" borderId="2" xfId="0" applyNumberFormat="1" applyFont="1" applyFill="1" applyBorder="1" applyAlignment="1">
      <alignment horizontal="center" vertical="center"/>
    </xf>
    <xf numFmtId="0" fontId="40" fillId="11" borderId="2" xfId="0" applyFont="1" applyFill="1" applyBorder="1" applyAlignment="1">
      <alignment horizontal="left" vertical="center" indent="1"/>
    </xf>
    <xf numFmtId="0" fontId="40" fillId="11" borderId="2" xfId="0" applyFont="1" applyFill="1" applyBorder="1" applyAlignment="1">
      <alignment horizontal="center" vertical="center"/>
    </xf>
    <xf numFmtId="0" fontId="41" fillId="11" borderId="2" xfId="0" applyFont="1" applyFill="1" applyBorder="1" applyAlignment="1">
      <alignment horizontal="center" vertical="center"/>
    </xf>
    <xf numFmtId="0" fontId="42" fillId="11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left" vertical="center"/>
    </xf>
    <xf numFmtId="0" fontId="43" fillId="11" borderId="2" xfId="0" applyFont="1" applyFill="1" applyBorder="1" applyAlignment="1">
      <alignment horizontal="center" vertical="center"/>
    </xf>
    <xf numFmtId="0" fontId="8" fillId="0" borderId="0" xfId="0" applyFont="1"/>
    <xf numFmtId="0" fontId="28" fillId="6" borderId="3" xfId="0" applyFont="1" applyFill="1" applyBorder="1" applyAlignment="1">
      <alignment horizontal="center" vertical="center"/>
    </xf>
    <xf numFmtId="14" fontId="0" fillId="0" borderId="0" xfId="0" applyNumberFormat="1"/>
    <xf numFmtId="0" fontId="39" fillId="8" borderId="3" xfId="0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0" fontId="28" fillId="8" borderId="3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39" fillId="8" borderId="4" xfId="0" applyFont="1" applyFill="1" applyBorder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44" fillId="0" borderId="0" xfId="0" applyFont="1"/>
    <xf numFmtId="0" fontId="22" fillId="2" borderId="0" xfId="0" applyFont="1" applyFill="1" applyAlignment="1">
      <alignment horizontal="center" vertical="center"/>
    </xf>
    <xf numFmtId="0" fontId="23" fillId="5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6" fillId="4" borderId="0" xfId="0" applyFont="1" applyFill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25" fillId="9" borderId="0" xfId="0" applyFont="1" applyFill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2CC"/>
      <rgbColor rgb="FFE8F5E9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E5CC"/>
      <rgbColor rgb="FF3B82F6"/>
      <rgbColor rgb="FF33CCCC"/>
      <rgbColor rgb="FF99CC00"/>
      <rgbColor rgb="FFFFC000"/>
      <rgbColor rgb="FFFF9900"/>
      <rgbColor rgb="FFED7D31"/>
      <rgbColor rgb="FF666666"/>
      <rgbColor rgb="FF94A3B8"/>
      <rgbColor rgb="FF1D4ED8"/>
      <rgbColor rgb="FF4472C4"/>
      <rgbColor rgb="FF003300"/>
      <rgbColor rgb="FF333300"/>
      <rgbColor rgb="FFE11D48"/>
      <rgbColor rgb="FF9333EA"/>
      <rgbColor rgb="FF2E5090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5090"/>
  </sheetPr>
  <dimension ref="A1:P90"/>
  <sheetViews>
    <sheetView zoomScaleNormal="100" workbookViewId="0">
      <pane ySplit="5" topLeftCell="A6" activePane="bottomLeft" state="frozen"/>
      <selection pane="bottomLeft"/>
    </sheetView>
  </sheetViews>
  <sheetFormatPr baseColWidth="10" defaultColWidth="8.7109375" defaultRowHeight="15" x14ac:dyDescent="0.25"/>
  <cols>
    <col min="1" max="1" width="7" customWidth="1"/>
    <col min="2" max="2" width="5" customWidth="1"/>
    <col min="3" max="10" width="8" customWidth="1"/>
    <col min="11" max="11" width="1.42578125" customWidth="1"/>
    <col min="12" max="12" width="11" customWidth="1"/>
    <col min="13" max="13" width="9" customWidth="1"/>
    <col min="14" max="15" width="8" customWidth="1"/>
    <col min="16" max="16" width="5" customWidth="1"/>
  </cols>
  <sheetData>
    <row r="1" spans="1:16" ht="30" customHeight="1" x14ac:dyDescent="0.25">
      <c r="A1" s="123" t="s">
        <v>0</v>
      </c>
      <c r="B1" s="123"/>
      <c r="C1" s="123"/>
      <c r="D1" s="123"/>
      <c r="E1" s="123"/>
      <c r="F1" s="123"/>
      <c r="G1" s="123"/>
      <c r="H1" s="123"/>
      <c r="I1" s="123"/>
      <c r="L1" s="124" t="s">
        <v>1</v>
      </c>
      <c r="M1" s="124"/>
      <c r="N1" s="124"/>
      <c r="O1" s="124"/>
      <c r="P1" s="124"/>
    </row>
    <row r="2" spans="1:16" ht="15" customHeight="1" x14ac:dyDescent="0.25">
      <c r="B2" s="125" t="s">
        <v>2</v>
      </c>
      <c r="C2" s="125"/>
      <c r="L2" s="125" t="s">
        <v>3</v>
      </c>
      <c r="M2" s="125"/>
      <c r="O2" s="125" t="s">
        <v>4</v>
      </c>
      <c r="P2" s="125"/>
    </row>
    <row r="3" spans="1:16" ht="30" customHeight="1" x14ac:dyDescent="0.25">
      <c r="B3" s="116">
        <f>IF($E$4="Alle",COUNTA(Vertragseingänge!E4:E500),COUNTIFS(Vertragseingänge!$C$4:$C$500,$E$4*1,Vertragseingänge!$E$4:$E$500,"&lt;&gt;"))</f>
        <v>180</v>
      </c>
      <c r="C3" s="116"/>
      <c r="L3" s="117">
        <f>IF($E$4="Alle",SUM('Leads Rohdaten'!D4:D503),SUMIFS('Leads Rohdaten'!$D$4:$D$503,'Leads Rohdaten'!$A$4:$A$503,$E$4*1))</f>
        <v>1235</v>
      </c>
      <c r="M3" s="117"/>
      <c r="O3" s="118">
        <f ca="1">IF($E$4="Alle",IF(SUMIFS('Leads Rohdaten'!$D$4:$D$503,'Leads Rohdaten'!$H$4:$H$503,"Reif")=0,"-",SUMIFS('Leads Rohdaten'!$E$4:$E$503,'Leads Rohdaten'!$H$4:$H$503,"Reif")/SUMIFS('Leads Rohdaten'!$D$4:$D$503,'Leads Rohdaten'!$H$4:$H$503,"Reif")),IF(SUMIFS('Leads Rohdaten'!$D$4:$D$503,'Leads Rohdaten'!$H$4:$H$503,"Reif",'Leads Rohdaten'!$A$4:$A$503,$E$4*1)=0,"-",SUMIFS('Leads Rohdaten'!$E$4:$E$503,'Leads Rohdaten'!$H$4:$H$503,"Reif",'Leads Rohdaten'!$A$4:$A$503,$E$4*1)/SUMIFS('Leads Rohdaten'!$D$4:$D$503,'Leads Rohdaten'!$H$4:$H$503,"Reif",'Leads Rohdaten'!$A$4:$A$503,$E$4*1)))</f>
        <v>4.1807909604519772E-2</v>
      </c>
      <c r="P3" s="118"/>
    </row>
    <row r="4" spans="1:16" ht="27.75" customHeight="1" x14ac:dyDescent="0.25">
      <c r="A4" s="119" t="s">
        <v>5</v>
      </c>
      <c r="B4" s="119"/>
      <c r="C4" s="119"/>
      <c r="D4" s="119"/>
      <c r="E4" s="120">
        <v>2026</v>
      </c>
      <c r="F4" s="120"/>
      <c r="G4" s="121" t="s">
        <v>6</v>
      </c>
      <c r="H4" s="121"/>
      <c r="I4" s="121"/>
      <c r="J4" s="121"/>
      <c r="L4" s="122" t="str">
        <f>" Anzeige für: "&amp;$E$4&amp;"  |  Maturity: "&amp;Steuerung!$C$27&amp;" Tage"</f>
        <v xml:space="preserve"> Anzeige für: 2026  |  Maturity: 90 Tage</v>
      </c>
      <c r="M4" s="122"/>
      <c r="N4" s="122"/>
      <c r="O4" s="122"/>
      <c r="P4" s="122"/>
    </row>
    <row r="5" spans="1:16" ht="21.75" customHeight="1" x14ac:dyDescent="0.25">
      <c r="A5" s="2" t="s">
        <v>7</v>
      </c>
      <c r="B5" s="2" t="s">
        <v>8</v>
      </c>
      <c r="C5" s="2" t="str">
        <f>IF(Steuerung!B16="","",Steuerung!C16)</f>
        <v>Fatima</v>
      </c>
      <c r="D5" s="2" t="str">
        <f>IF(Steuerung!B17="","",Steuerung!C17)</f>
        <v>Gabriella</v>
      </c>
      <c r="E5" s="2" t="str">
        <f>IF(Steuerung!B18="","",Steuerung!C18)</f>
        <v>Gerd</v>
      </c>
      <c r="F5" s="2" t="str">
        <f>IF(Steuerung!B19="","",Steuerung!C19)</f>
        <v>David</v>
      </c>
      <c r="G5" s="2" t="str">
        <f>IF(Steuerung!B20="","",Steuerung!C20)</f>
        <v>Nicole</v>
      </c>
      <c r="H5" s="2" t="str">
        <f>IF(Steuerung!B21="","",Steuerung!C21)</f>
        <v>Drilan</v>
      </c>
      <c r="I5" s="2" t="str">
        <f>IF(Steuerung!B22="","",Steuerung!C22)</f>
        <v>Salvat.</v>
      </c>
      <c r="J5" s="2" t="s">
        <v>9</v>
      </c>
      <c r="L5" s="113" t="s">
        <v>10</v>
      </c>
      <c r="M5" s="113"/>
      <c r="N5" s="113"/>
      <c r="O5" s="113"/>
      <c r="P5" s="113"/>
    </row>
    <row r="6" spans="1:16" ht="15" customHeight="1" x14ac:dyDescent="0.25">
      <c r="A6" s="3" t="s">
        <v>11</v>
      </c>
      <c r="B6" s="4">
        <f>IF($E$4="Alle",COUNTIFS(Vertragseingänge!$A$4:$A$500,A6),COUNTIFS(Vertragseingänge!$A$4:$A$500,A6,Vertragseingänge!$C$4:$C$500,$E$4*1))</f>
        <v>3</v>
      </c>
      <c r="C6" s="5">
        <f>IFERROR(IF(Steuerung!$B$16="","",IF($E$4="Alle",IF(COUNTIFS(Vertragseingänge!$A$4:$A$500,A6,Vertragseingänge!$E$4:$E$500,Steuerung!$B$16)=0,"",COUNTIFS(Vertragseingänge!$A$4:$A$500,A6,Vertragseingänge!$E$4:$E$500,Steuerung!$B$16)),IF(COUNTIFS(Vertragseingänge!$A$4:$A$500,A6,Vertragseingänge!$E$4:$E$500,Steuerung!$B$16,Vertragseingänge!$C$4:$C$500,$E$4*1)=0,"",COUNTIFS(Vertragseingänge!$A$4:$A$500,A6,Vertragseingänge!$E$4:$E$500,Steuerung!$B$16,Vertragseingänge!$C$4:$C$500,$E$4*1)))),"")</f>
        <v>1</v>
      </c>
      <c r="D6" s="5" t="str">
        <f>IFERROR(IF(Steuerung!$B$17="","",IF($E$4="Alle",IF(COUNTIFS(Vertragseingänge!$A$4:$A$500,A6,Vertragseingänge!$E$4:$E$500,Steuerung!$B$17)=0,"",COUNTIFS(Vertragseingänge!$A$4:$A$500,A6,Vertragseingänge!$E$4:$E$500,Steuerung!$B$17)),IF(COUNTIFS(Vertragseingänge!$A$4:$A$500,A6,Vertragseingänge!$E$4:$E$500,Steuerung!$B$17,Vertragseingänge!$C$4:$C$500,$E$4*1)=0,"",COUNTIFS(Vertragseingänge!$A$4:$A$500,A6,Vertragseingänge!$E$4:$E$500,Steuerung!$B$17,Vertragseingänge!$C$4:$C$500,$E$4*1)))),"")</f>
        <v/>
      </c>
      <c r="E6" s="5">
        <f>IFERROR(IF(Steuerung!$B$18="","",IF($E$4="Alle",IF(COUNTIFS(Vertragseingänge!$A$4:$A$500,A6,Vertragseingänge!$E$4:$E$500,Steuerung!$B$18)=0,"",COUNTIFS(Vertragseingänge!$A$4:$A$500,A6,Vertragseingänge!$E$4:$E$500,Steuerung!$B$18)),IF(COUNTIFS(Vertragseingänge!$A$4:$A$500,A6,Vertragseingänge!$E$4:$E$500,Steuerung!$B$18,Vertragseingänge!$C$4:$C$500,$E$4*1)=0,"",COUNTIFS(Vertragseingänge!$A$4:$A$500,A6,Vertragseingänge!$E$4:$E$500,Steuerung!$B$18,Vertragseingänge!$C$4:$C$500,$E$4*1)))),"")</f>
        <v>2</v>
      </c>
      <c r="F6" s="5" t="str">
        <f>IFERROR(IF(Steuerung!$B$19="","",IF($E$4="Alle",IF(COUNTIFS(Vertragseingänge!$A$4:$A$500,A6,Vertragseingänge!$E$4:$E$500,Steuerung!$B$19)=0,"",COUNTIFS(Vertragseingänge!$A$4:$A$500,A6,Vertragseingänge!$E$4:$E$500,Steuerung!$B$19)),IF(COUNTIFS(Vertragseingänge!$A$4:$A$500,A6,Vertragseingänge!$E$4:$E$500,Steuerung!$B$19,Vertragseingänge!$C$4:$C$500,$E$4*1)=0,"",COUNTIFS(Vertragseingänge!$A$4:$A$500,A6,Vertragseingänge!$E$4:$E$500,Steuerung!$B$19,Vertragseingänge!$C$4:$C$500,$E$4*1)))),"")</f>
        <v/>
      </c>
      <c r="G6" s="5" t="str">
        <f>IFERROR(IF(Steuerung!$B$20="","",IF($E$4="Alle",IF(COUNTIFS(Vertragseingänge!$A$4:$A$500,A6,Vertragseingänge!$E$4:$E$500,Steuerung!$B$20)=0,"",COUNTIFS(Vertragseingänge!$A$4:$A$500,A6,Vertragseingänge!$E$4:$E$500,Steuerung!$B$20)),IF(COUNTIFS(Vertragseingänge!$A$4:$A$500,A6,Vertragseingänge!$E$4:$E$500,Steuerung!$B$20,Vertragseingänge!$C$4:$C$500,$E$4*1)=0,"",COUNTIFS(Vertragseingänge!$A$4:$A$500,A6,Vertragseingänge!$E$4:$E$500,Steuerung!$B$20,Vertragseingänge!$C$4:$C$500,$E$4*1)))),"")</f>
        <v/>
      </c>
      <c r="H6" s="5" t="str">
        <f>IFERROR(IF(Steuerung!$B$21="","",IF($E$4="Alle",IF(COUNTIFS(Vertragseingänge!$A$4:$A$500,A6,Vertragseingänge!$E$4:$E$500,Steuerung!$B$21)=0,"",COUNTIFS(Vertragseingänge!$A$4:$A$500,A6,Vertragseingänge!$E$4:$E$500,Steuerung!$B$21)),IF(COUNTIFS(Vertragseingänge!$A$4:$A$500,A6,Vertragseingänge!$E$4:$E$500,Steuerung!$B$21,Vertragseingänge!$C$4:$C$500,$E$4*1)=0,"",COUNTIFS(Vertragseingänge!$A$4:$A$500,A6,Vertragseingänge!$E$4:$E$500,Steuerung!$B$21,Vertragseingänge!$C$4:$C$500,$E$4*1)))),"")</f>
        <v/>
      </c>
      <c r="I6" s="5" t="str">
        <f>IFERROR(IF(Steuerung!$B$22="","",IF($E$4="Alle",IF(COUNTIFS(Vertragseingänge!$A$4:$A$500,A6,Vertragseingänge!$E$4:$E$500,Steuerung!$B$22)=0,"",COUNTIFS(Vertragseingänge!$A$4:$A$500,A6,Vertragseingänge!$E$4:$E$500,Steuerung!$B$22)),IF(COUNTIFS(Vertragseingänge!$A$4:$A$500,A6,Vertragseingänge!$E$4:$E$500,Steuerung!$B$22,Vertragseingänge!$C$4:$C$500,$E$4*1)=0,"",COUNTIFS(Vertragseingänge!$A$4:$A$500,A6,Vertragseingänge!$E$4:$E$500,Steuerung!$B$22,Vertragseingänge!$C$4:$C$500,$E$4*1)))),"")</f>
        <v/>
      </c>
      <c r="J6" s="5" t="str">
        <f t="shared" ref="J6:J36" si="0">IFERROR(IF(B6-SUM(C6:I6)=0,"",B6-SUM(C6:I6)),"")</f>
        <v/>
      </c>
      <c r="L6" s="6" t="s">
        <v>12</v>
      </c>
      <c r="M6" s="6" t="s">
        <v>13</v>
      </c>
      <c r="N6" s="6" t="s">
        <v>14</v>
      </c>
      <c r="O6" s="6" t="s">
        <v>15</v>
      </c>
      <c r="P6" s="6"/>
    </row>
    <row r="7" spans="1:16" ht="15" customHeight="1" x14ac:dyDescent="0.25">
      <c r="A7" s="7" t="s">
        <v>16</v>
      </c>
      <c r="B7" s="8">
        <f>IF($E$4="Alle",COUNTIFS(Vertragseingänge!$A$4:$A$500,A7),COUNTIFS(Vertragseingänge!$A$4:$A$500,A7,Vertragseingänge!$C$4:$C$500,$E$4*1))</f>
        <v>1</v>
      </c>
      <c r="C7" s="9" t="str">
        <f>IFERROR(IF(Steuerung!$B$16="","",IF($E$4="Alle",IF(COUNTIFS(Vertragseingänge!$A$4:$A$500,A7,Vertragseingänge!$E$4:$E$500,Steuerung!$B$16)=0,"",COUNTIFS(Vertragseingänge!$A$4:$A$500,A7,Vertragseingänge!$E$4:$E$500,Steuerung!$B$16)),IF(COUNTIFS(Vertragseingänge!$A$4:$A$500,A7,Vertragseingänge!$E$4:$E$500,Steuerung!$B$16,Vertragseingänge!$C$4:$C$500,$E$4*1)=0,"",COUNTIFS(Vertragseingänge!$A$4:$A$500,A7,Vertragseingänge!$E$4:$E$500,Steuerung!$B$16,Vertragseingänge!$C$4:$C$500,$E$4*1)))),"")</f>
        <v/>
      </c>
      <c r="D7" s="9">
        <f>IFERROR(IF(Steuerung!$B$17="","",IF($E$4="Alle",IF(COUNTIFS(Vertragseingänge!$A$4:$A$500,A7,Vertragseingänge!$E$4:$E$500,Steuerung!$B$17)=0,"",COUNTIFS(Vertragseingänge!$A$4:$A$500,A7,Vertragseingänge!$E$4:$E$500,Steuerung!$B$17)),IF(COUNTIFS(Vertragseingänge!$A$4:$A$500,A7,Vertragseingänge!$E$4:$E$500,Steuerung!$B$17,Vertragseingänge!$C$4:$C$500,$E$4*1)=0,"",COUNTIFS(Vertragseingänge!$A$4:$A$500,A7,Vertragseingänge!$E$4:$E$500,Steuerung!$B$17,Vertragseingänge!$C$4:$C$500,$E$4*1)))),"")</f>
        <v>1</v>
      </c>
      <c r="E7" s="9" t="str">
        <f>IFERROR(IF(Steuerung!$B$18="","",IF($E$4="Alle",IF(COUNTIFS(Vertragseingänge!$A$4:$A$500,A7,Vertragseingänge!$E$4:$E$500,Steuerung!$B$18)=0,"",COUNTIFS(Vertragseingänge!$A$4:$A$500,A7,Vertragseingänge!$E$4:$E$500,Steuerung!$B$18)),IF(COUNTIFS(Vertragseingänge!$A$4:$A$500,A7,Vertragseingänge!$E$4:$E$500,Steuerung!$B$18,Vertragseingänge!$C$4:$C$500,$E$4*1)=0,"",COUNTIFS(Vertragseingänge!$A$4:$A$500,A7,Vertragseingänge!$E$4:$E$500,Steuerung!$B$18,Vertragseingänge!$C$4:$C$500,$E$4*1)))),"")</f>
        <v/>
      </c>
      <c r="F7" s="9" t="str">
        <f>IFERROR(IF(Steuerung!$B$19="","",IF($E$4="Alle",IF(COUNTIFS(Vertragseingänge!$A$4:$A$500,A7,Vertragseingänge!$E$4:$E$500,Steuerung!$B$19)=0,"",COUNTIFS(Vertragseingänge!$A$4:$A$500,A7,Vertragseingänge!$E$4:$E$500,Steuerung!$B$19)),IF(COUNTIFS(Vertragseingänge!$A$4:$A$500,A7,Vertragseingänge!$E$4:$E$500,Steuerung!$B$19,Vertragseingänge!$C$4:$C$500,$E$4*1)=0,"",COUNTIFS(Vertragseingänge!$A$4:$A$500,A7,Vertragseingänge!$E$4:$E$500,Steuerung!$B$19,Vertragseingänge!$C$4:$C$500,$E$4*1)))),"")</f>
        <v/>
      </c>
      <c r="G7" s="9" t="str">
        <f>IFERROR(IF(Steuerung!$B$20="","",IF($E$4="Alle",IF(COUNTIFS(Vertragseingänge!$A$4:$A$500,A7,Vertragseingänge!$E$4:$E$500,Steuerung!$B$20)=0,"",COUNTIFS(Vertragseingänge!$A$4:$A$500,A7,Vertragseingänge!$E$4:$E$500,Steuerung!$B$20)),IF(COUNTIFS(Vertragseingänge!$A$4:$A$500,A7,Vertragseingänge!$E$4:$E$500,Steuerung!$B$20,Vertragseingänge!$C$4:$C$500,$E$4*1)=0,"",COUNTIFS(Vertragseingänge!$A$4:$A$500,A7,Vertragseingänge!$E$4:$E$500,Steuerung!$B$20,Vertragseingänge!$C$4:$C$500,$E$4*1)))),"")</f>
        <v/>
      </c>
      <c r="H7" s="9" t="str">
        <f>IFERROR(IF(Steuerung!$B$21="","",IF($E$4="Alle",IF(COUNTIFS(Vertragseingänge!$A$4:$A$500,A7,Vertragseingänge!$E$4:$E$500,Steuerung!$B$21)=0,"",COUNTIFS(Vertragseingänge!$A$4:$A$500,A7,Vertragseingänge!$E$4:$E$500,Steuerung!$B$21)),IF(COUNTIFS(Vertragseingänge!$A$4:$A$500,A7,Vertragseingänge!$E$4:$E$500,Steuerung!$B$21,Vertragseingänge!$C$4:$C$500,$E$4*1)=0,"",COUNTIFS(Vertragseingänge!$A$4:$A$500,A7,Vertragseingänge!$E$4:$E$500,Steuerung!$B$21,Vertragseingänge!$C$4:$C$500,$E$4*1)))),"")</f>
        <v/>
      </c>
      <c r="I7" s="9" t="str">
        <f>IFERROR(IF(Steuerung!$B$22="","",IF($E$4="Alle",IF(COUNTIFS(Vertragseingänge!$A$4:$A$500,A7,Vertragseingänge!$E$4:$E$500,Steuerung!$B$22)=0,"",COUNTIFS(Vertragseingänge!$A$4:$A$500,A7,Vertragseingänge!$E$4:$E$500,Steuerung!$B$22)),IF(COUNTIFS(Vertragseingänge!$A$4:$A$500,A7,Vertragseingänge!$E$4:$E$500,Steuerung!$B$22,Vertragseingänge!$C$4:$C$500,$E$4*1)=0,"",COUNTIFS(Vertragseingänge!$A$4:$A$500,A7,Vertragseingänge!$E$4:$E$500,Steuerung!$B$22,Vertragseingänge!$C$4:$C$500,$E$4*1)))),"")</f>
        <v/>
      </c>
      <c r="J7" s="9" t="str">
        <f t="shared" si="0"/>
        <v/>
      </c>
      <c r="L7" s="10" t="str">
        <f>IF(Steuerung!B6="","",Steuerung!C6)</f>
        <v>Fatima</v>
      </c>
      <c r="M7" s="9">
        <f ca="1">IF(Steuerung!$B$6="","",IF($E$4="Alle",SUMIFS('Leads Rohdaten'!$D$4:$D$503,'Leads Rohdaten'!$C$4:$C$503,Steuerung!$B$6,'Leads Rohdaten'!$H$4:$H$503,"Reif"),SUMIFS('Leads Rohdaten'!$D$4:$D$503,'Leads Rohdaten'!$C$4:$C$503,Steuerung!$B$6,'Leads Rohdaten'!$H$4:$H$503,"Reif",'Leads Rohdaten'!$A$4:$A$503,$E$4*1)))</f>
        <v>210</v>
      </c>
      <c r="N7" s="11">
        <f ca="1">IF(Steuerung!$B$6="","",IF($E$4="Alle",SUMIFS('Leads Rohdaten'!$E$4:$E$503,'Leads Rohdaten'!$C$4:$C$503,Steuerung!$B$6,'Leads Rohdaten'!$H$4:$H$503,"Reif"),SUMIFS('Leads Rohdaten'!$E$4:$E$503,'Leads Rohdaten'!$C$4:$C$503,Steuerung!$B$6,'Leads Rohdaten'!$H$4:$H$503,"Reif",'Leads Rohdaten'!$A$4:$A$503,$E$4*1)))</f>
        <v>21</v>
      </c>
      <c r="O7" s="12">
        <f t="shared" ref="O7:O12" ca="1" si="1">IF(OR(M7="",M7=0),"–",N7/M7)</f>
        <v>0.1</v>
      </c>
      <c r="P7" s="13" t="str">
        <f t="shared" ref="P7:P12" ca="1" si="2">IF(OR(M7="",M7=0),"",IF(N7/MAX(M7,1)&gt;=0.1,"✅",IF(N7/MAX(M7,1)&gt;=0.03,"⚠","⛔")))</f>
        <v>✅</v>
      </c>
    </row>
    <row r="8" spans="1:16" ht="15" customHeight="1" x14ac:dyDescent="0.25">
      <c r="A8" s="3" t="s">
        <v>17</v>
      </c>
      <c r="B8" s="4">
        <f>IF($E$4="Alle",COUNTIFS(Vertragseingänge!$A$4:$A$500,A8),COUNTIFS(Vertragseingänge!$A$4:$A$500,A8,Vertragseingänge!$C$4:$C$500,$E$4*1))</f>
        <v>5</v>
      </c>
      <c r="C8" s="5">
        <f>IFERROR(IF(Steuerung!$B$16="","",IF($E$4="Alle",IF(COUNTIFS(Vertragseingänge!$A$4:$A$500,A8,Vertragseingänge!$E$4:$E$500,Steuerung!$B$16)=0,"",COUNTIFS(Vertragseingänge!$A$4:$A$500,A8,Vertragseingänge!$E$4:$E$500,Steuerung!$B$16)),IF(COUNTIFS(Vertragseingänge!$A$4:$A$500,A8,Vertragseingänge!$E$4:$E$500,Steuerung!$B$16,Vertragseingänge!$C$4:$C$500,$E$4*1)=0,"",COUNTIFS(Vertragseingänge!$A$4:$A$500,A8,Vertragseingänge!$E$4:$E$500,Steuerung!$B$16,Vertragseingänge!$C$4:$C$500,$E$4*1)))),"")</f>
        <v>3</v>
      </c>
      <c r="D8" s="5">
        <f>IFERROR(IF(Steuerung!$B$17="","",IF($E$4="Alle",IF(COUNTIFS(Vertragseingänge!$A$4:$A$500,A8,Vertragseingänge!$E$4:$E$500,Steuerung!$B$17)=0,"",COUNTIFS(Vertragseingänge!$A$4:$A$500,A8,Vertragseingänge!$E$4:$E$500,Steuerung!$B$17)),IF(COUNTIFS(Vertragseingänge!$A$4:$A$500,A8,Vertragseingänge!$E$4:$E$500,Steuerung!$B$17,Vertragseingänge!$C$4:$C$500,$E$4*1)=0,"",COUNTIFS(Vertragseingänge!$A$4:$A$500,A8,Vertragseingänge!$E$4:$E$500,Steuerung!$B$17,Vertragseingänge!$C$4:$C$500,$E$4*1)))),"")</f>
        <v>1</v>
      </c>
      <c r="E8" s="5" t="str">
        <f>IFERROR(IF(Steuerung!$B$18="","",IF($E$4="Alle",IF(COUNTIFS(Vertragseingänge!$A$4:$A$500,A8,Vertragseingänge!$E$4:$E$500,Steuerung!$B$18)=0,"",COUNTIFS(Vertragseingänge!$A$4:$A$500,A8,Vertragseingänge!$E$4:$E$500,Steuerung!$B$18)),IF(COUNTIFS(Vertragseingänge!$A$4:$A$500,A8,Vertragseingänge!$E$4:$E$500,Steuerung!$B$18,Vertragseingänge!$C$4:$C$500,$E$4*1)=0,"",COUNTIFS(Vertragseingänge!$A$4:$A$500,A8,Vertragseingänge!$E$4:$E$500,Steuerung!$B$18,Vertragseingänge!$C$4:$C$500,$E$4*1)))),"")</f>
        <v/>
      </c>
      <c r="F8" s="5" t="str">
        <f>IFERROR(IF(Steuerung!$B$19="","",IF($E$4="Alle",IF(COUNTIFS(Vertragseingänge!$A$4:$A$500,A8,Vertragseingänge!$E$4:$E$500,Steuerung!$B$19)=0,"",COUNTIFS(Vertragseingänge!$A$4:$A$500,A8,Vertragseingänge!$E$4:$E$500,Steuerung!$B$19)),IF(COUNTIFS(Vertragseingänge!$A$4:$A$500,A8,Vertragseingänge!$E$4:$E$500,Steuerung!$B$19,Vertragseingänge!$C$4:$C$500,$E$4*1)=0,"",COUNTIFS(Vertragseingänge!$A$4:$A$500,A8,Vertragseingänge!$E$4:$E$500,Steuerung!$B$19,Vertragseingänge!$C$4:$C$500,$E$4*1)))),"")</f>
        <v/>
      </c>
      <c r="G8" s="5" t="str">
        <f>IFERROR(IF(Steuerung!$B$20="","",IF($E$4="Alle",IF(COUNTIFS(Vertragseingänge!$A$4:$A$500,A8,Vertragseingänge!$E$4:$E$500,Steuerung!$B$20)=0,"",COUNTIFS(Vertragseingänge!$A$4:$A$500,A8,Vertragseingänge!$E$4:$E$500,Steuerung!$B$20)),IF(COUNTIFS(Vertragseingänge!$A$4:$A$500,A8,Vertragseingänge!$E$4:$E$500,Steuerung!$B$20,Vertragseingänge!$C$4:$C$500,$E$4*1)=0,"",COUNTIFS(Vertragseingänge!$A$4:$A$500,A8,Vertragseingänge!$E$4:$E$500,Steuerung!$B$20,Vertragseingänge!$C$4:$C$500,$E$4*1)))),"")</f>
        <v/>
      </c>
      <c r="H8" s="5" t="str">
        <f>IFERROR(IF(Steuerung!$B$21="","",IF($E$4="Alle",IF(COUNTIFS(Vertragseingänge!$A$4:$A$500,A8,Vertragseingänge!$E$4:$E$500,Steuerung!$B$21)=0,"",COUNTIFS(Vertragseingänge!$A$4:$A$500,A8,Vertragseingänge!$E$4:$E$500,Steuerung!$B$21)),IF(COUNTIFS(Vertragseingänge!$A$4:$A$500,A8,Vertragseingänge!$E$4:$E$500,Steuerung!$B$21,Vertragseingänge!$C$4:$C$500,$E$4*1)=0,"",COUNTIFS(Vertragseingänge!$A$4:$A$500,A8,Vertragseingänge!$E$4:$E$500,Steuerung!$B$21,Vertragseingänge!$C$4:$C$500,$E$4*1)))),"")</f>
        <v/>
      </c>
      <c r="I8" s="5" t="str">
        <f>IFERROR(IF(Steuerung!$B$22="","",IF($E$4="Alle",IF(COUNTIFS(Vertragseingänge!$A$4:$A$500,A8,Vertragseingänge!$E$4:$E$500,Steuerung!$B$22)=0,"",COUNTIFS(Vertragseingänge!$A$4:$A$500,A8,Vertragseingänge!$E$4:$E$500,Steuerung!$B$22)),IF(COUNTIFS(Vertragseingänge!$A$4:$A$500,A8,Vertragseingänge!$E$4:$E$500,Steuerung!$B$22,Vertragseingänge!$C$4:$C$500,$E$4*1)=0,"",COUNTIFS(Vertragseingänge!$A$4:$A$500,A8,Vertragseingänge!$E$4:$E$500,Steuerung!$B$22,Vertragseingänge!$C$4:$C$500,$E$4*1)))),"")</f>
        <v/>
      </c>
      <c r="J8" s="5">
        <f t="shared" si="0"/>
        <v>1</v>
      </c>
      <c r="L8" s="14" t="str">
        <f>IF(Steuerung!B7="","",Steuerung!C7)</f>
        <v>Gabriella</v>
      </c>
      <c r="M8" s="5">
        <f ca="1">IF(Steuerung!$B$7="","",IF($E$4="Alle",SUMIFS('Leads Rohdaten'!$D$4:$D$503,'Leads Rohdaten'!$C$4:$C$503,Steuerung!$B$7,'Leads Rohdaten'!$H$4:$H$503,"Reif"),SUMIFS('Leads Rohdaten'!$D$4:$D$503,'Leads Rohdaten'!$C$4:$C$503,Steuerung!$B$7,'Leads Rohdaten'!$H$4:$H$503,"Reif",'Leads Rohdaten'!$A$4:$A$503,$E$4*1)))</f>
        <v>90</v>
      </c>
      <c r="N8" s="15">
        <f ca="1">IF(Steuerung!$B$7="","",IF($E$4="Alle",SUMIFS('Leads Rohdaten'!$E$4:$E$503,'Leads Rohdaten'!$C$4:$C$503,Steuerung!$B$7,'Leads Rohdaten'!$H$4:$H$503,"Reif"),SUMIFS('Leads Rohdaten'!$E$4:$E$503,'Leads Rohdaten'!$C$4:$C$503,Steuerung!$B$7,'Leads Rohdaten'!$H$4:$H$503,"Reif",'Leads Rohdaten'!$A$4:$A$503,$E$4*1)))</f>
        <v>5</v>
      </c>
      <c r="O8" s="16">
        <f t="shared" ca="1" si="1"/>
        <v>5.5555555555555552E-2</v>
      </c>
      <c r="P8" s="17" t="str">
        <f t="shared" ca="1" si="2"/>
        <v>⚠</v>
      </c>
    </row>
    <row r="9" spans="1:16" ht="15" customHeight="1" x14ac:dyDescent="0.25">
      <c r="A9" s="7" t="s">
        <v>18</v>
      </c>
      <c r="B9" s="8">
        <f>IF($E$4="Alle",COUNTIFS(Vertragseingänge!$A$4:$A$500,A9),COUNTIFS(Vertragseingänge!$A$4:$A$500,A9,Vertragseingänge!$C$4:$C$500,$E$4*1))</f>
        <v>10</v>
      </c>
      <c r="C9" s="9">
        <f>IFERROR(IF(Steuerung!$B$16="","",IF($E$4="Alle",IF(COUNTIFS(Vertragseingänge!$A$4:$A$500,A9,Vertragseingänge!$E$4:$E$500,Steuerung!$B$16)=0,"",COUNTIFS(Vertragseingänge!$A$4:$A$500,A9,Vertragseingänge!$E$4:$E$500,Steuerung!$B$16)),IF(COUNTIFS(Vertragseingänge!$A$4:$A$500,A9,Vertragseingänge!$E$4:$E$500,Steuerung!$B$16,Vertragseingänge!$C$4:$C$500,$E$4*1)=0,"",COUNTIFS(Vertragseingänge!$A$4:$A$500,A9,Vertragseingänge!$E$4:$E$500,Steuerung!$B$16,Vertragseingänge!$C$4:$C$500,$E$4*1)))),"")</f>
        <v>3</v>
      </c>
      <c r="D9" s="9">
        <f>IFERROR(IF(Steuerung!$B$17="","",IF($E$4="Alle",IF(COUNTIFS(Vertragseingänge!$A$4:$A$500,A9,Vertragseingänge!$E$4:$E$500,Steuerung!$B$17)=0,"",COUNTIFS(Vertragseingänge!$A$4:$A$500,A9,Vertragseingänge!$E$4:$E$500,Steuerung!$B$17)),IF(COUNTIFS(Vertragseingänge!$A$4:$A$500,A9,Vertragseingänge!$E$4:$E$500,Steuerung!$B$17,Vertragseingänge!$C$4:$C$500,$E$4*1)=0,"",COUNTIFS(Vertragseingänge!$A$4:$A$500,A9,Vertragseingänge!$E$4:$E$500,Steuerung!$B$17,Vertragseingänge!$C$4:$C$500,$E$4*1)))),"")</f>
        <v>1</v>
      </c>
      <c r="E9" s="9">
        <f>IFERROR(IF(Steuerung!$B$18="","",IF($E$4="Alle",IF(COUNTIFS(Vertragseingänge!$A$4:$A$500,A9,Vertragseingänge!$E$4:$E$500,Steuerung!$B$18)=0,"",COUNTIFS(Vertragseingänge!$A$4:$A$500,A9,Vertragseingänge!$E$4:$E$500,Steuerung!$B$18)),IF(COUNTIFS(Vertragseingänge!$A$4:$A$500,A9,Vertragseingänge!$E$4:$E$500,Steuerung!$B$18,Vertragseingänge!$C$4:$C$500,$E$4*1)=0,"",COUNTIFS(Vertragseingänge!$A$4:$A$500,A9,Vertragseingänge!$E$4:$E$500,Steuerung!$B$18,Vertragseingänge!$C$4:$C$500,$E$4*1)))),"")</f>
        <v>2</v>
      </c>
      <c r="F9" s="9" t="str">
        <f>IFERROR(IF(Steuerung!$B$19="","",IF($E$4="Alle",IF(COUNTIFS(Vertragseingänge!$A$4:$A$500,A9,Vertragseingänge!$E$4:$E$500,Steuerung!$B$19)=0,"",COUNTIFS(Vertragseingänge!$A$4:$A$500,A9,Vertragseingänge!$E$4:$E$500,Steuerung!$B$19)),IF(COUNTIFS(Vertragseingänge!$A$4:$A$500,A9,Vertragseingänge!$E$4:$E$500,Steuerung!$B$19,Vertragseingänge!$C$4:$C$500,$E$4*1)=0,"",COUNTIFS(Vertragseingänge!$A$4:$A$500,A9,Vertragseingänge!$E$4:$E$500,Steuerung!$B$19,Vertragseingänge!$C$4:$C$500,$E$4*1)))),"")</f>
        <v/>
      </c>
      <c r="G9" s="9" t="str">
        <f>IFERROR(IF(Steuerung!$B$20="","",IF($E$4="Alle",IF(COUNTIFS(Vertragseingänge!$A$4:$A$500,A9,Vertragseingänge!$E$4:$E$500,Steuerung!$B$20)=0,"",COUNTIFS(Vertragseingänge!$A$4:$A$500,A9,Vertragseingänge!$E$4:$E$500,Steuerung!$B$20)),IF(COUNTIFS(Vertragseingänge!$A$4:$A$500,A9,Vertragseingänge!$E$4:$E$500,Steuerung!$B$20,Vertragseingänge!$C$4:$C$500,$E$4*1)=0,"",COUNTIFS(Vertragseingänge!$A$4:$A$500,A9,Vertragseingänge!$E$4:$E$500,Steuerung!$B$20,Vertragseingänge!$C$4:$C$500,$E$4*1)))),"")</f>
        <v/>
      </c>
      <c r="H9" s="9" t="str">
        <f>IFERROR(IF(Steuerung!$B$21="","",IF($E$4="Alle",IF(COUNTIFS(Vertragseingänge!$A$4:$A$500,A9,Vertragseingänge!$E$4:$E$500,Steuerung!$B$21)=0,"",COUNTIFS(Vertragseingänge!$A$4:$A$500,A9,Vertragseingänge!$E$4:$E$500,Steuerung!$B$21)),IF(COUNTIFS(Vertragseingänge!$A$4:$A$500,A9,Vertragseingänge!$E$4:$E$500,Steuerung!$B$21,Vertragseingänge!$C$4:$C$500,$E$4*1)=0,"",COUNTIFS(Vertragseingänge!$A$4:$A$500,A9,Vertragseingänge!$E$4:$E$500,Steuerung!$B$21,Vertragseingänge!$C$4:$C$500,$E$4*1)))),"")</f>
        <v/>
      </c>
      <c r="I9" s="9" t="str">
        <f>IFERROR(IF(Steuerung!$B$22="","",IF($E$4="Alle",IF(COUNTIFS(Vertragseingänge!$A$4:$A$500,A9,Vertragseingänge!$E$4:$E$500,Steuerung!$B$22)=0,"",COUNTIFS(Vertragseingänge!$A$4:$A$500,A9,Vertragseingänge!$E$4:$E$500,Steuerung!$B$22)),IF(COUNTIFS(Vertragseingänge!$A$4:$A$500,A9,Vertragseingänge!$E$4:$E$500,Steuerung!$B$22,Vertragseingänge!$C$4:$C$500,$E$4*1)=0,"",COUNTIFS(Vertragseingänge!$A$4:$A$500,A9,Vertragseingänge!$E$4:$E$500,Steuerung!$B$22,Vertragseingänge!$C$4:$C$500,$E$4*1)))),"")</f>
        <v/>
      </c>
      <c r="J9" s="9">
        <f t="shared" si="0"/>
        <v>4</v>
      </c>
      <c r="L9" s="10" t="str">
        <f>IF(Steuerung!B8="","",Steuerung!C8)</f>
        <v>Gerd</v>
      </c>
      <c r="M9" s="9">
        <f ca="1">IF(Steuerung!$B$8="","",IF($E$4="Alle",SUMIFS('Leads Rohdaten'!$D$4:$D$503,'Leads Rohdaten'!$C$4:$C$503,Steuerung!$B$8,'Leads Rohdaten'!$H$4:$H$503,"Reif"),SUMIFS('Leads Rohdaten'!$D$4:$D$503,'Leads Rohdaten'!$C$4:$C$503,Steuerung!$B$8,'Leads Rohdaten'!$H$4:$H$503,"Reif",'Leads Rohdaten'!$A$4:$A$503,$E$4*1)))</f>
        <v>33</v>
      </c>
      <c r="N9" s="11">
        <f ca="1">IF(Steuerung!$B$8="","",IF($E$4="Alle",SUMIFS('Leads Rohdaten'!$E$4:$E$503,'Leads Rohdaten'!$C$4:$C$503,Steuerung!$B$8,'Leads Rohdaten'!$H$4:$H$503,"Reif"),SUMIFS('Leads Rohdaten'!$E$4:$E$503,'Leads Rohdaten'!$C$4:$C$503,Steuerung!$B$8,'Leads Rohdaten'!$H$4:$H$503,"Reif",'Leads Rohdaten'!$A$4:$A$503,$E$4*1)))</f>
        <v>3</v>
      </c>
      <c r="O9" s="12">
        <f t="shared" ca="1" si="1"/>
        <v>9.0909090909090912E-2</v>
      </c>
      <c r="P9" s="13" t="str">
        <f t="shared" ca="1" si="2"/>
        <v>⚠</v>
      </c>
    </row>
    <row r="10" spans="1:16" ht="15" customHeight="1" x14ac:dyDescent="0.25">
      <c r="A10" s="3" t="s">
        <v>19</v>
      </c>
      <c r="B10" s="4">
        <f>IF($E$4="Alle",COUNTIFS(Vertragseingänge!$A$4:$A$500,A10),COUNTIFS(Vertragseingänge!$A$4:$A$500,A10,Vertragseingänge!$C$4:$C$500,$E$4*1))</f>
        <v>10</v>
      </c>
      <c r="C10" s="5">
        <f>IFERROR(IF(Steuerung!$B$16="","",IF($E$4="Alle",IF(COUNTIFS(Vertragseingänge!$A$4:$A$500,A10,Vertragseingänge!$E$4:$E$500,Steuerung!$B$16)=0,"",COUNTIFS(Vertragseingänge!$A$4:$A$500,A10,Vertragseingänge!$E$4:$E$500,Steuerung!$B$16)),IF(COUNTIFS(Vertragseingänge!$A$4:$A$500,A10,Vertragseingänge!$E$4:$E$500,Steuerung!$B$16,Vertragseingänge!$C$4:$C$500,$E$4*1)=0,"",COUNTIFS(Vertragseingänge!$A$4:$A$500,A10,Vertragseingänge!$E$4:$E$500,Steuerung!$B$16,Vertragseingänge!$C$4:$C$500,$E$4*1)))),"")</f>
        <v>3</v>
      </c>
      <c r="D10" s="5">
        <f>IFERROR(IF(Steuerung!$B$17="","",IF($E$4="Alle",IF(COUNTIFS(Vertragseingänge!$A$4:$A$500,A10,Vertragseingänge!$E$4:$E$500,Steuerung!$B$17)=0,"",COUNTIFS(Vertragseingänge!$A$4:$A$500,A10,Vertragseingänge!$E$4:$E$500,Steuerung!$B$17)),IF(COUNTIFS(Vertragseingänge!$A$4:$A$500,A10,Vertragseingänge!$E$4:$E$500,Steuerung!$B$17,Vertragseingänge!$C$4:$C$500,$E$4*1)=0,"",COUNTIFS(Vertragseingänge!$A$4:$A$500,A10,Vertragseingänge!$E$4:$E$500,Steuerung!$B$17,Vertragseingänge!$C$4:$C$500,$E$4*1)))),"")</f>
        <v>1</v>
      </c>
      <c r="E10" s="5">
        <f>IFERROR(IF(Steuerung!$B$18="","",IF($E$4="Alle",IF(COUNTIFS(Vertragseingänge!$A$4:$A$500,A10,Vertragseingänge!$E$4:$E$500,Steuerung!$B$18)=0,"",COUNTIFS(Vertragseingänge!$A$4:$A$500,A10,Vertragseingänge!$E$4:$E$500,Steuerung!$B$18)),IF(COUNTIFS(Vertragseingänge!$A$4:$A$500,A10,Vertragseingänge!$E$4:$E$500,Steuerung!$B$18,Vertragseingänge!$C$4:$C$500,$E$4*1)=0,"",COUNTIFS(Vertragseingänge!$A$4:$A$500,A10,Vertragseingänge!$E$4:$E$500,Steuerung!$B$18,Vertragseingänge!$C$4:$C$500,$E$4*1)))),"")</f>
        <v>5</v>
      </c>
      <c r="F10" s="5" t="str">
        <f>IFERROR(IF(Steuerung!$B$19="","",IF($E$4="Alle",IF(COUNTIFS(Vertragseingänge!$A$4:$A$500,A10,Vertragseingänge!$E$4:$E$500,Steuerung!$B$19)=0,"",COUNTIFS(Vertragseingänge!$A$4:$A$500,A10,Vertragseingänge!$E$4:$E$500,Steuerung!$B$19)),IF(COUNTIFS(Vertragseingänge!$A$4:$A$500,A10,Vertragseingänge!$E$4:$E$500,Steuerung!$B$19,Vertragseingänge!$C$4:$C$500,$E$4*1)=0,"",COUNTIFS(Vertragseingänge!$A$4:$A$500,A10,Vertragseingänge!$E$4:$E$500,Steuerung!$B$19,Vertragseingänge!$C$4:$C$500,$E$4*1)))),"")</f>
        <v/>
      </c>
      <c r="G10" s="5" t="str">
        <f>IFERROR(IF(Steuerung!$B$20="","",IF($E$4="Alle",IF(COUNTIFS(Vertragseingänge!$A$4:$A$500,A10,Vertragseingänge!$E$4:$E$500,Steuerung!$B$20)=0,"",COUNTIFS(Vertragseingänge!$A$4:$A$500,A10,Vertragseingänge!$E$4:$E$500,Steuerung!$B$20)),IF(COUNTIFS(Vertragseingänge!$A$4:$A$500,A10,Vertragseingänge!$E$4:$E$500,Steuerung!$B$20,Vertragseingänge!$C$4:$C$500,$E$4*1)=0,"",COUNTIFS(Vertragseingänge!$A$4:$A$500,A10,Vertragseingänge!$E$4:$E$500,Steuerung!$B$20,Vertragseingänge!$C$4:$C$500,$E$4*1)))),"")</f>
        <v/>
      </c>
      <c r="H10" s="5" t="str">
        <f>IFERROR(IF(Steuerung!$B$21="","",IF($E$4="Alle",IF(COUNTIFS(Vertragseingänge!$A$4:$A$500,A10,Vertragseingänge!$E$4:$E$500,Steuerung!$B$21)=0,"",COUNTIFS(Vertragseingänge!$A$4:$A$500,A10,Vertragseingänge!$E$4:$E$500,Steuerung!$B$21)),IF(COUNTIFS(Vertragseingänge!$A$4:$A$500,A10,Vertragseingänge!$E$4:$E$500,Steuerung!$B$21,Vertragseingänge!$C$4:$C$500,$E$4*1)=0,"",COUNTIFS(Vertragseingänge!$A$4:$A$500,A10,Vertragseingänge!$E$4:$E$500,Steuerung!$B$21,Vertragseingänge!$C$4:$C$500,$E$4*1)))),"")</f>
        <v/>
      </c>
      <c r="I10" s="5" t="str">
        <f>IFERROR(IF(Steuerung!$B$22="","",IF($E$4="Alle",IF(COUNTIFS(Vertragseingänge!$A$4:$A$500,A10,Vertragseingänge!$E$4:$E$500,Steuerung!$B$22)=0,"",COUNTIFS(Vertragseingänge!$A$4:$A$500,A10,Vertragseingänge!$E$4:$E$500,Steuerung!$B$22)),IF(COUNTIFS(Vertragseingänge!$A$4:$A$500,A10,Vertragseingänge!$E$4:$E$500,Steuerung!$B$22,Vertragseingänge!$C$4:$C$500,$E$4*1)=0,"",COUNTIFS(Vertragseingänge!$A$4:$A$500,A10,Vertragseingänge!$E$4:$E$500,Steuerung!$B$22,Vertragseingänge!$C$4:$C$500,$E$4*1)))),"")</f>
        <v/>
      </c>
      <c r="J10" s="5">
        <f t="shared" si="0"/>
        <v>1</v>
      </c>
      <c r="L10" s="14" t="str">
        <f>IF(Steuerung!B9="","",Steuerung!C9)</f>
        <v>David</v>
      </c>
      <c r="M10" s="5">
        <f ca="1">IF(Steuerung!$B$9="","",IF($E$4="Alle",SUMIFS('Leads Rohdaten'!$D$4:$D$503,'Leads Rohdaten'!$C$4:$C$503,Steuerung!$B$9,'Leads Rohdaten'!$H$4:$H$503,"Reif"),SUMIFS('Leads Rohdaten'!$D$4:$D$503,'Leads Rohdaten'!$C$4:$C$503,Steuerung!$B$9,'Leads Rohdaten'!$H$4:$H$503,"Reif",'Leads Rohdaten'!$A$4:$A$503,$E$4*1)))</f>
        <v>0</v>
      </c>
      <c r="N10" s="15">
        <f ca="1">IF(Steuerung!$B$9="","",IF($E$4="Alle",SUMIFS('Leads Rohdaten'!$E$4:$E$503,'Leads Rohdaten'!$C$4:$C$503,Steuerung!$B$9,'Leads Rohdaten'!$H$4:$H$503,"Reif"),SUMIFS('Leads Rohdaten'!$E$4:$E$503,'Leads Rohdaten'!$C$4:$C$503,Steuerung!$B$9,'Leads Rohdaten'!$H$4:$H$503,"Reif",'Leads Rohdaten'!$A$4:$A$503,$E$4*1)))</f>
        <v>0</v>
      </c>
      <c r="O10" s="16" t="str">
        <f t="shared" ca="1" si="1"/>
        <v>–</v>
      </c>
      <c r="P10" s="17" t="str">
        <f t="shared" ca="1" si="2"/>
        <v/>
      </c>
    </row>
    <row r="11" spans="1:16" ht="15" customHeight="1" x14ac:dyDescent="0.25">
      <c r="A11" s="7" t="s">
        <v>20</v>
      </c>
      <c r="B11" s="8">
        <f>IF($E$4="Alle",COUNTIFS(Vertragseingänge!$A$4:$A$500,A11),COUNTIFS(Vertragseingänge!$A$4:$A$500,A11,Vertragseingänge!$C$4:$C$500,$E$4*1))</f>
        <v>10</v>
      </c>
      <c r="C11" s="9">
        <f>IFERROR(IF(Steuerung!$B$16="","",IF($E$4="Alle",IF(COUNTIFS(Vertragseingänge!$A$4:$A$500,A11,Vertragseingänge!$E$4:$E$500,Steuerung!$B$16)=0,"",COUNTIFS(Vertragseingänge!$A$4:$A$500,A11,Vertragseingänge!$E$4:$E$500,Steuerung!$B$16)),IF(COUNTIFS(Vertragseingänge!$A$4:$A$500,A11,Vertragseingänge!$E$4:$E$500,Steuerung!$B$16,Vertragseingänge!$C$4:$C$500,$E$4*1)=0,"",COUNTIFS(Vertragseingänge!$A$4:$A$500,A11,Vertragseingänge!$E$4:$E$500,Steuerung!$B$16,Vertragseingänge!$C$4:$C$500,$E$4*1)))),"")</f>
        <v>8</v>
      </c>
      <c r="D11" s="9" t="str">
        <f>IFERROR(IF(Steuerung!$B$17="","",IF($E$4="Alle",IF(COUNTIFS(Vertragseingänge!$A$4:$A$500,A11,Vertragseingänge!$E$4:$E$500,Steuerung!$B$17)=0,"",COUNTIFS(Vertragseingänge!$A$4:$A$500,A11,Vertragseingänge!$E$4:$E$500,Steuerung!$B$17)),IF(COUNTIFS(Vertragseingänge!$A$4:$A$500,A11,Vertragseingänge!$E$4:$E$500,Steuerung!$B$17,Vertragseingänge!$C$4:$C$500,$E$4*1)=0,"",COUNTIFS(Vertragseingänge!$A$4:$A$500,A11,Vertragseingänge!$E$4:$E$500,Steuerung!$B$17,Vertragseingänge!$C$4:$C$500,$E$4*1)))),"")</f>
        <v/>
      </c>
      <c r="E11" s="9" t="str">
        <f>IFERROR(IF(Steuerung!$B$18="","",IF($E$4="Alle",IF(COUNTIFS(Vertragseingänge!$A$4:$A$500,A11,Vertragseingänge!$E$4:$E$500,Steuerung!$B$18)=0,"",COUNTIFS(Vertragseingänge!$A$4:$A$500,A11,Vertragseingänge!$E$4:$E$500,Steuerung!$B$18)),IF(COUNTIFS(Vertragseingänge!$A$4:$A$500,A11,Vertragseingänge!$E$4:$E$500,Steuerung!$B$18,Vertragseingänge!$C$4:$C$500,$E$4*1)=0,"",COUNTIFS(Vertragseingänge!$A$4:$A$500,A11,Vertragseingänge!$E$4:$E$500,Steuerung!$B$18,Vertragseingänge!$C$4:$C$500,$E$4*1)))),"")</f>
        <v/>
      </c>
      <c r="F11" s="9" t="str">
        <f>IFERROR(IF(Steuerung!$B$19="","",IF($E$4="Alle",IF(COUNTIFS(Vertragseingänge!$A$4:$A$500,A11,Vertragseingänge!$E$4:$E$500,Steuerung!$B$19)=0,"",COUNTIFS(Vertragseingänge!$A$4:$A$500,A11,Vertragseingänge!$E$4:$E$500,Steuerung!$B$19)),IF(COUNTIFS(Vertragseingänge!$A$4:$A$500,A11,Vertragseingänge!$E$4:$E$500,Steuerung!$B$19,Vertragseingänge!$C$4:$C$500,$E$4*1)=0,"",COUNTIFS(Vertragseingänge!$A$4:$A$500,A11,Vertragseingänge!$E$4:$E$500,Steuerung!$B$19,Vertragseingänge!$C$4:$C$500,$E$4*1)))),"")</f>
        <v/>
      </c>
      <c r="G11" s="9">
        <f>IFERROR(IF(Steuerung!$B$20="","",IF($E$4="Alle",IF(COUNTIFS(Vertragseingänge!$A$4:$A$500,A11,Vertragseingänge!$E$4:$E$500,Steuerung!$B$20)=0,"",COUNTIFS(Vertragseingänge!$A$4:$A$500,A11,Vertragseingänge!$E$4:$E$500,Steuerung!$B$20)),IF(COUNTIFS(Vertragseingänge!$A$4:$A$500,A11,Vertragseingänge!$E$4:$E$500,Steuerung!$B$20,Vertragseingänge!$C$4:$C$500,$E$4*1)=0,"",COUNTIFS(Vertragseingänge!$A$4:$A$500,A11,Vertragseingänge!$E$4:$E$500,Steuerung!$B$20,Vertragseingänge!$C$4:$C$500,$E$4*1)))),"")</f>
        <v>1</v>
      </c>
      <c r="H11" s="9" t="str">
        <f>IFERROR(IF(Steuerung!$B$21="","",IF($E$4="Alle",IF(COUNTIFS(Vertragseingänge!$A$4:$A$500,A11,Vertragseingänge!$E$4:$E$500,Steuerung!$B$21)=0,"",COUNTIFS(Vertragseingänge!$A$4:$A$500,A11,Vertragseingänge!$E$4:$E$500,Steuerung!$B$21)),IF(COUNTIFS(Vertragseingänge!$A$4:$A$500,A11,Vertragseingänge!$E$4:$E$500,Steuerung!$B$21,Vertragseingänge!$C$4:$C$500,$E$4*1)=0,"",COUNTIFS(Vertragseingänge!$A$4:$A$500,A11,Vertragseingänge!$E$4:$E$500,Steuerung!$B$21,Vertragseingänge!$C$4:$C$500,$E$4*1)))),"")</f>
        <v/>
      </c>
      <c r="I11" s="9" t="str">
        <f>IFERROR(IF(Steuerung!$B$22="","",IF($E$4="Alle",IF(COUNTIFS(Vertragseingänge!$A$4:$A$500,A11,Vertragseingänge!$E$4:$E$500,Steuerung!$B$22)=0,"",COUNTIFS(Vertragseingänge!$A$4:$A$500,A11,Vertragseingänge!$E$4:$E$500,Steuerung!$B$22)),IF(COUNTIFS(Vertragseingänge!$A$4:$A$500,A11,Vertragseingänge!$E$4:$E$500,Steuerung!$B$22,Vertragseingänge!$C$4:$C$500,$E$4*1)=0,"",COUNTIFS(Vertragseingänge!$A$4:$A$500,A11,Vertragseingänge!$E$4:$E$500,Steuerung!$B$22,Vertragseingänge!$C$4:$C$500,$E$4*1)))),"")</f>
        <v/>
      </c>
      <c r="J11" s="9">
        <f t="shared" si="0"/>
        <v>1</v>
      </c>
      <c r="L11" s="10" t="str">
        <f>IF(Steuerung!B10="","",Steuerung!C10)</f>
        <v/>
      </c>
      <c r="M11" s="9" t="str">
        <f>IF(Steuerung!$B$10="","",IF($E$4="Alle",SUMIFS('Leads Rohdaten'!$D$4:$D$503,'Leads Rohdaten'!$C$4:$C$503,Steuerung!$B$10,'Leads Rohdaten'!$H$4:$H$503,"Reif"),SUMIFS('Leads Rohdaten'!$D$4:$D$503,'Leads Rohdaten'!$C$4:$C$503,Steuerung!$B$10,'Leads Rohdaten'!$H$4:$H$503,"Reif",'Leads Rohdaten'!$A$4:$A$503,$E$4*1)))</f>
        <v/>
      </c>
      <c r="N11" s="11" t="str">
        <f>IF(Steuerung!$B$10="","",IF($E$4="Alle",SUMIFS('Leads Rohdaten'!$E$4:$E$503,'Leads Rohdaten'!$C$4:$C$503,Steuerung!$B$10,'Leads Rohdaten'!$H$4:$H$503,"Reif"),SUMIFS('Leads Rohdaten'!$E$4:$E$503,'Leads Rohdaten'!$C$4:$C$503,Steuerung!$B$10,'Leads Rohdaten'!$H$4:$H$503,"Reif",'Leads Rohdaten'!$A$4:$A$503,$E$4*1)))</f>
        <v/>
      </c>
      <c r="O11" s="12" t="str">
        <f t="shared" si="1"/>
        <v>–</v>
      </c>
      <c r="P11" s="13" t="str">
        <f t="shared" si="2"/>
        <v/>
      </c>
    </row>
    <row r="12" spans="1:16" ht="15" customHeight="1" x14ac:dyDescent="0.25">
      <c r="A12" s="3" t="s">
        <v>21</v>
      </c>
      <c r="B12" s="4">
        <f>IF($E$4="Alle",COUNTIFS(Vertragseingänge!$A$4:$A$500,A12),COUNTIFS(Vertragseingänge!$A$4:$A$500,A12,Vertragseingänge!$C$4:$C$500,$E$4*1))</f>
        <v>6</v>
      </c>
      <c r="C12" s="5">
        <f>IFERROR(IF(Steuerung!$B$16="","",IF($E$4="Alle",IF(COUNTIFS(Vertragseingänge!$A$4:$A$500,A12,Vertragseingänge!$E$4:$E$500,Steuerung!$B$16)=0,"",COUNTIFS(Vertragseingänge!$A$4:$A$500,A12,Vertragseingänge!$E$4:$E$500,Steuerung!$B$16)),IF(COUNTIFS(Vertragseingänge!$A$4:$A$500,A12,Vertragseingänge!$E$4:$E$500,Steuerung!$B$16,Vertragseingänge!$C$4:$C$500,$E$4*1)=0,"",COUNTIFS(Vertragseingänge!$A$4:$A$500,A12,Vertragseingänge!$E$4:$E$500,Steuerung!$B$16,Vertragseingänge!$C$4:$C$500,$E$4*1)))),"")</f>
        <v>1</v>
      </c>
      <c r="D12" s="5">
        <f>IFERROR(IF(Steuerung!$B$17="","",IF($E$4="Alle",IF(COUNTIFS(Vertragseingänge!$A$4:$A$500,A12,Vertragseingänge!$E$4:$E$500,Steuerung!$B$17)=0,"",COUNTIFS(Vertragseingänge!$A$4:$A$500,A12,Vertragseingänge!$E$4:$E$500,Steuerung!$B$17)),IF(COUNTIFS(Vertragseingänge!$A$4:$A$500,A12,Vertragseingänge!$E$4:$E$500,Steuerung!$B$17,Vertragseingänge!$C$4:$C$500,$E$4*1)=0,"",COUNTIFS(Vertragseingänge!$A$4:$A$500,A12,Vertragseingänge!$E$4:$E$500,Steuerung!$B$17,Vertragseingänge!$C$4:$C$500,$E$4*1)))),"")</f>
        <v>2</v>
      </c>
      <c r="E12" s="5">
        <f>IFERROR(IF(Steuerung!$B$18="","",IF($E$4="Alle",IF(COUNTIFS(Vertragseingänge!$A$4:$A$500,A12,Vertragseingänge!$E$4:$E$500,Steuerung!$B$18)=0,"",COUNTIFS(Vertragseingänge!$A$4:$A$500,A12,Vertragseingänge!$E$4:$E$500,Steuerung!$B$18)),IF(COUNTIFS(Vertragseingänge!$A$4:$A$500,A12,Vertragseingänge!$E$4:$E$500,Steuerung!$B$18,Vertragseingänge!$C$4:$C$500,$E$4*1)=0,"",COUNTIFS(Vertragseingänge!$A$4:$A$500,A12,Vertragseingänge!$E$4:$E$500,Steuerung!$B$18,Vertragseingänge!$C$4:$C$500,$E$4*1)))),"")</f>
        <v>2</v>
      </c>
      <c r="F12" s="5" t="str">
        <f>IFERROR(IF(Steuerung!$B$19="","",IF($E$4="Alle",IF(COUNTIFS(Vertragseingänge!$A$4:$A$500,A12,Vertragseingänge!$E$4:$E$500,Steuerung!$B$19)=0,"",COUNTIFS(Vertragseingänge!$A$4:$A$500,A12,Vertragseingänge!$E$4:$E$500,Steuerung!$B$19)),IF(COUNTIFS(Vertragseingänge!$A$4:$A$500,A12,Vertragseingänge!$E$4:$E$500,Steuerung!$B$19,Vertragseingänge!$C$4:$C$500,$E$4*1)=0,"",COUNTIFS(Vertragseingänge!$A$4:$A$500,A12,Vertragseingänge!$E$4:$E$500,Steuerung!$B$19,Vertragseingänge!$C$4:$C$500,$E$4*1)))),"")</f>
        <v/>
      </c>
      <c r="G12" s="5" t="str">
        <f>IFERROR(IF(Steuerung!$B$20="","",IF($E$4="Alle",IF(COUNTIFS(Vertragseingänge!$A$4:$A$500,A12,Vertragseingänge!$E$4:$E$500,Steuerung!$B$20)=0,"",COUNTIFS(Vertragseingänge!$A$4:$A$500,A12,Vertragseingänge!$E$4:$E$500,Steuerung!$B$20)),IF(COUNTIFS(Vertragseingänge!$A$4:$A$500,A12,Vertragseingänge!$E$4:$E$500,Steuerung!$B$20,Vertragseingänge!$C$4:$C$500,$E$4*1)=0,"",COUNTIFS(Vertragseingänge!$A$4:$A$500,A12,Vertragseingänge!$E$4:$E$500,Steuerung!$B$20,Vertragseingänge!$C$4:$C$500,$E$4*1)))),"")</f>
        <v/>
      </c>
      <c r="H12" s="5" t="str">
        <f>IFERROR(IF(Steuerung!$B$21="","",IF($E$4="Alle",IF(COUNTIFS(Vertragseingänge!$A$4:$A$500,A12,Vertragseingänge!$E$4:$E$500,Steuerung!$B$21)=0,"",COUNTIFS(Vertragseingänge!$A$4:$A$500,A12,Vertragseingänge!$E$4:$E$500,Steuerung!$B$21)),IF(COUNTIFS(Vertragseingänge!$A$4:$A$500,A12,Vertragseingänge!$E$4:$E$500,Steuerung!$B$21,Vertragseingänge!$C$4:$C$500,$E$4*1)=0,"",COUNTIFS(Vertragseingänge!$A$4:$A$500,A12,Vertragseingänge!$E$4:$E$500,Steuerung!$B$21,Vertragseingänge!$C$4:$C$500,$E$4*1)))),"")</f>
        <v/>
      </c>
      <c r="I12" s="5" t="str">
        <f>IFERROR(IF(Steuerung!$B$22="","",IF($E$4="Alle",IF(COUNTIFS(Vertragseingänge!$A$4:$A$500,A12,Vertragseingänge!$E$4:$E$500,Steuerung!$B$22)=0,"",COUNTIFS(Vertragseingänge!$A$4:$A$500,A12,Vertragseingänge!$E$4:$E$500,Steuerung!$B$22)),IF(COUNTIFS(Vertragseingänge!$A$4:$A$500,A12,Vertragseingänge!$E$4:$E$500,Steuerung!$B$22,Vertragseingänge!$C$4:$C$500,$E$4*1)=0,"",COUNTIFS(Vertragseingänge!$A$4:$A$500,A12,Vertragseingänge!$E$4:$E$500,Steuerung!$B$22,Vertragseingänge!$C$4:$C$500,$E$4*1)))),"")</f>
        <v/>
      </c>
      <c r="J12" s="5">
        <f t="shared" si="0"/>
        <v>1</v>
      </c>
      <c r="L12" s="14" t="str">
        <f>IF(Steuerung!B11="","",Steuerung!C11)</f>
        <v/>
      </c>
      <c r="M12" s="5" t="str">
        <f>IF(Steuerung!$B$11="","",IF($E$4="Alle",SUMIFS('Leads Rohdaten'!$D$4:$D$503,'Leads Rohdaten'!$C$4:$C$503,Steuerung!$B$11,'Leads Rohdaten'!$H$4:$H$503,"Reif"),SUMIFS('Leads Rohdaten'!$D$4:$D$503,'Leads Rohdaten'!$C$4:$C$503,Steuerung!$B$11,'Leads Rohdaten'!$H$4:$H$503,"Reif",'Leads Rohdaten'!$A$4:$A$503,$E$4*1)))</f>
        <v/>
      </c>
      <c r="N12" s="15" t="str">
        <f>IF(Steuerung!$B$11="","",IF($E$4="Alle",SUMIFS('Leads Rohdaten'!$E$4:$E$503,'Leads Rohdaten'!$C$4:$C$503,Steuerung!$B$11,'Leads Rohdaten'!$H$4:$H$503,"Reif"),SUMIFS('Leads Rohdaten'!$E$4:$E$503,'Leads Rohdaten'!$C$4:$C$503,Steuerung!$B$11,'Leads Rohdaten'!$H$4:$H$503,"Reif",'Leads Rohdaten'!$A$4:$A$503,$E$4*1)))</f>
        <v/>
      </c>
      <c r="O12" s="16" t="str">
        <f t="shared" si="1"/>
        <v>–</v>
      </c>
      <c r="P12" s="17" t="str">
        <f t="shared" si="2"/>
        <v/>
      </c>
    </row>
    <row r="13" spans="1:16" ht="15" customHeight="1" x14ac:dyDescent="0.25">
      <c r="A13" s="7" t="s">
        <v>22</v>
      </c>
      <c r="B13" s="8">
        <f>IF($E$4="Alle",COUNTIFS(Vertragseingänge!$A$4:$A$500,A13),COUNTIFS(Vertragseingänge!$A$4:$A$500,A13,Vertragseingänge!$C$4:$C$500,$E$4*1))</f>
        <v>4</v>
      </c>
      <c r="C13" s="9">
        <f>IFERROR(IF(Steuerung!$B$16="","",IF($E$4="Alle",IF(COUNTIFS(Vertragseingänge!$A$4:$A$500,A13,Vertragseingänge!$E$4:$E$500,Steuerung!$B$16)=0,"",COUNTIFS(Vertragseingänge!$A$4:$A$500,A13,Vertragseingänge!$E$4:$E$500,Steuerung!$B$16)),IF(COUNTIFS(Vertragseingänge!$A$4:$A$500,A13,Vertragseingänge!$E$4:$E$500,Steuerung!$B$16,Vertragseingänge!$C$4:$C$500,$E$4*1)=0,"",COUNTIFS(Vertragseingänge!$A$4:$A$500,A13,Vertragseingänge!$E$4:$E$500,Steuerung!$B$16,Vertragseingänge!$C$4:$C$500,$E$4*1)))),"")</f>
        <v>1</v>
      </c>
      <c r="D13" s="9" t="str">
        <f>IFERROR(IF(Steuerung!$B$17="","",IF($E$4="Alle",IF(COUNTIFS(Vertragseingänge!$A$4:$A$500,A13,Vertragseingänge!$E$4:$E$500,Steuerung!$B$17)=0,"",COUNTIFS(Vertragseingänge!$A$4:$A$500,A13,Vertragseingänge!$E$4:$E$500,Steuerung!$B$17)),IF(COUNTIFS(Vertragseingänge!$A$4:$A$500,A13,Vertragseingänge!$E$4:$E$500,Steuerung!$B$17,Vertragseingänge!$C$4:$C$500,$E$4*1)=0,"",COUNTIFS(Vertragseingänge!$A$4:$A$500,A13,Vertragseingänge!$E$4:$E$500,Steuerung!$B$17,Vertragseingänge!$C$4:$C$500,$E$4*1)))),"")</f>
        <v/>
      </c>
      <c r="E13" s="9" t="str">
        <f>IFERROR(IF(Steuerung!$B$18="","",IF($E$4="Alle",IF(COUNTIFS(Vertragseingänge!$A$4:$A$500,A13,Vertragseingänge!$E$4:$E$500,Steuerung!$B$18)=0,"",COUNTIFS(Vertragseingänge!$A$4:$A$500,A13,Vertragseingänge!$E$4:$E$500,Steuerung!$B$18)),IF(COUNTIFS(Vertragseingänge!$A$4:$A$500,A13,Vertragseingänge!$E$4:$E$500,Steuerung!$B$18,Vertragseingänge!$C$4:$C$500,$E$4*1)=0,"",COUNTIFS(Vertragseingänge!$A$4:$A$500,A13,Vertragseingänge!$E$4:$E$500,Steuerung!$B$18,Vertragseingänge!$C$4:$C$500,$E$4*1)))),"")</f>
        <v/>
      </c>
      <c r="F13" s="9" t="str">
        <f>IFERROR(IF(Steuerung!$B$19="","",IF($E$4="Alle",IF(COUNTIFS(Vertragseingänge!$A$4:$A$500,A13,Vertragseingänge!$E$4:$E$500,Steuerung!$B$19)=0,"",COUNTIFS(Vertragseingänge!$A$4:$A$500,A13,Vertragseingänge!$E$4:$E$500,Steuerung!$B$19)),IF(COUNTIFS(Vertragseingänge!$A$4:$A$500,A13,Vertragseingänge!$E$4:$E$500,Steuerung!$B$19,Vertragseingänge!$C$4:$C$500,$E$4*1)=0,"",COUNTIFS(Vertragseingänge!$A$4:$A$500,A13,Vertragseingänge!$E$4:$E$500,Steuerung!$B$19,Vertragseingänge!$C$4:$C$500,$E$4*1)))),"")</f>
        <v/>
      </c>
      <c r="G13" s="9">
        <f>IFERROR(IF(Steuerung!$B$20="","",IF($E$4="Alle",IF(COUNTIFS(Vertragseingänge!$A$4:$A$500,A13,Vertragseingänge!$E$4:$E$500,Steuerung!$B$20)=0,"",COUNTIFS(Vertragseingänge!$A$4:$A$500,A13,Vertragseingänge!$E$4:$E$500,Steuerung!$B$20)),IF(COUNTIFS(Vertragseingänge!$A$4:$A$500,A13,Vertragseingänge!$E$4:$E$500,Steuerung!$B$20,Vertragseingänge!$C$4:$C$500,$E$4*1)=0,"",COUNTIFS(Vertragseingänge!$A$4:$A$500,A13,Vertragseingänge!$E$4:$E$500,Steuerung!$B$20,Vertragseingänge!$C$4:$C$500,$E$4*1)))),"")</f>
        <v>1</v>
      </c>
      <c r="H13" s="9">
        <f>IFERROR(IF(Steuerung!$B$21="","",IF($E$4="Alle",IF(COUNTIFS(Vertragseingänge!$A$4:$A$500,A13,Vertragseingänge!$E$4:$E$500,Steuerung!$B$21)=0,"",COUNTIFS(Vertragseingänge!$A$4:$A$500,A13,Vertragseingänge!$E$4:$E$500,Steuerung!$B$21)),IF(COUNTIFS(Vertragseingänge!$A$4:$A$500,A13,Vertragseingänge!$E$4:$E$500,Steuerung!$B$21,Vertragseingänge!$C$4:$C$500,$E$4*1)=0,"",COUNTIFS(Vertragseingänge!$A$4:$A$500,A13,Vertragseingänge!$E$4:$E$500,Steuerung!$B$21,Vertragseingänge!$C$4:$C$500,$E$4*1)))),"")</f>
        <v>1</v>
      </c>
      <c r="I13" s="9" t="str">
        <f>IFERROR(IF(Steuerung!$B$22="","",IF($E$4="Alle",IF(COUNTIFS(Vertragseingänge!$A$4:$A$500,A13,Vertragseingänge!$E$4:$E$500,Steuerung!$B$22)=0,"",COUNTIFS(Vertragseingänge!$A$4:$A$500,A13,Vertragseingänge!$E$4:$E$500,Steuerung!$B$22)),IF(COUNTIFS(Vertragseingänge!$A$4:$A$500,A13,Vertragseingänge!$E$4:$E$500,Steuerung!$B$22,Vertragseingänge!$C$4:$C$500,$E$4*1)=0,"",COUNTIFS(Vertragseingänge!$A$4:$A$500,A13,Vertragseingänge!$E$4:$E$500,Steuerung!$B$22,Vertragseingänge!$C$4:$C$500,$E$4*1)))),"")</f>
        <v/>
      </c>
      <c r="J13" s="9">
        <f t="shared" si="0"/>
        <v>1</v>
      </c>
      <c r="L13" s="6" t="s">
        <v>23</v>
      </c>
      <c r="M13" s="18">
        <f ca="1">SUM(M7:M12)</f>
        <v>333</v>
      </c>
      <c r="N13" s="18">
        <f ca="1">SUM(N7:N12)</f>
        <v>29</v>
      </c>
      <c r="O13" s="19">
        <f ca="1">IF(M13=0,"-",N13/M13)</f>
        <v>8.7087087087087081E-2</v>
      </c>
      <c r="P13" s="6"/>
    </row>
    <row r="14" spans="1:16" ht="15" customHeight="1" x14ac:dyDescent="0.25">
      <c r="A14" s="3" t="s">
        <v>24</v>
      </c>
      <c r="B14" s="4">
        <f>IF($E$4="Alle",COUNTIFS(Vertragseingänge!$A$4:$A$500,A14),COUNTIFS(Vertragseingänge!$A$4:$A$500,A14,Vertragseingänge!$C$4:$C$500,$E$4*1))</f>
        <v>8</v>
      </c>
      <c r="C14" s="5">
        <f>IFERROR(IF(Steuerung!$B$16="","",IF($E$4="Alle",IF(COUNTIFS(Vertragseingänge!$A$4:$A$500,A14,Vertragseingänge!$E$4:$E$500,Steuerung!$B$16)=0,"",COUNTIFS(Vertragseingänge!$A$4:$A$500,A14,Vertragseingänge!$E$4:$E$500,Steuerung!$B$16)),IF(COUNTIFS(Vertragseingänge!$A$4:$A$500,A14,Vertragseingänge!$E$4:$E$500,Steuerung!$B$16,Vertragseingänge!$C$4:$C$500,$E$4*1)=0,"",COUNTIFS(Vertragseingänge!$A$4:$A$500,A14,Vertragseingänge!$E$4:$E$500,Steuerung!$B$16,Vertragseingänge!$C$4:$C$500,$E$4*1)))),"")</f>
        <v>2</v>
      </c>
      <c r="D14" s="5">
        <f>IFERROR(IF(Steuerung!$B$17="","",IF($E$4="Alle",IF(COUNTIFS(Vertragseingänge!$A$4:$A$500,A14,Vertragseingänge!$E$4:$E$500,Steuerung!$B$17)=0,"",COUNTIFS(Vertragseingänge!$A$4:$A$500,A14,Vertragseingänge!$E$4:$E$500,Steuerung!$B$17)),IF(COUNTIFS(Vertragseingänge!$A$4:$A$500,A14,Vertragseingänge!$E$4:$E$500,Steuerung!$B$17,Vertragseingänge!$C$4:$C$500,$E$4*1)=0,"",COUNTIFS(Vertragseingänge!$A$4:$A$500,A14,Vertragseingänge!$E$4:$E$500,Steuerung!$B$17,Vertragseingänge!$C$4:$C$500,$E$4*1)))),"")</f>
        <v>1</v>
      </c>
      <c r="E14" s="5">
        <f>IFERROR(IF(Steuerung!$B$18="","",IF($E$4="Alle",IF(COUNTIFS(Vertragseingänge!$A$4:$A$500,A14,Vertragseingänge!$E$4:$E$500,Steuerung!$B$18)=0,"",COUNTIFS(Vertragseingänge!$A$4:$A$500,A14,Vertragseingänge!$E$4:$E$500,Steuerung!$B$18)),IF(COUNTIFS(Vertragseingänge!$A$4:$A$500,A14,Vertragseingänge!$E$4:$E$500,Steuerung!$B$18,Vertragseingänge!$C$4:$C$500,$E$4*1)=0,"",COUNTIFS(Vertragseingänge!$A$4:$A$500,A14,Vertragseingänge!$E$4:$E$500,Steuerung!$B$18,Vertragseingänge!$C$4:$C$500,$E$4*1)))),"")</f>
        <v>2</v>
      </c>
      <c r="F14" s="5" t="str">
        <f>IFERROR(IF(Steuerung!$B$19="","",IF($E$4="Alle",IF(COUNTIFS(Vertragseingänge!$A$4:$A$500,A14,Vertragseingänge!$E$4:$E$500,Steuerung!$B$19)=0,"",COUNTIFS(Vertragseingänge!$A$4:$A$500,A14,Vertragseingänge!$E$4:$E$500,Steuerung!$B$19)),IF(COUNTIFS(Vertragseingänge!$A$4:$A$500,A14,Vertragseingänge!$E$4:$E$500,Steuerung!$B$19,Vertragseingänge!$C$4:$C$500,$E$4*1)=0,"",COUNTIFS(Vertragseingänge!$A$4:$A$500,A14,Vertragseingänge!$E$4:$E$500,Steuerung!$B$19,Vertragseingänge!$C$4:$C$500,$E$4*1)))),"")</f>
        <v/>
      </c>
      <c r="G14" s="5" t="str">
        <f>IFERROR(IF(Steuerung!$B$20="","",IF($E$4="Alle",IF(COUNTIFS(Vertragseingänge!$A$4:$A$500,A14,Vertragseingänge!$E$4:$E$500,Steuerung!$B$20)=0,"",COUNTIFS(Vertragseingänge!$A$4:$A$500,A14,Vertragseingänge!$E$4:$E$500,Steuerung!$B$20)),IF(COUNTIFS(Vertragseingänge!$A$4:$A$500,A14,Vertragseingänge!$E$4:$E$500,Steuerung!$B$20,Vertragseingänge!$C$4:$C$500,$E$4*1)=0,"",COUNTIFS(Vertragseingänge!$A$4:$A$500,A14,Vertragseingänge!$E$4:$E$500,Steuerung!$B$20,Vertragseingänge!$C$4:$C$500,$E$4*1)))),"")</f>
        <v/>
      </c>
      <c r="H14" s="5" t="str">
        <f>IFERROR(IF(Steuerung!$B$21="","",IF($E$4="Alle",IF(COUNTIFS(Vertragseingänge!$A$4:$A$500,A14,Vertragseingänge!$E$4:$E$500,Steuerung!$B$21)=0,"",COUNTIFS(Vertragseingänge!$A$4:$A$500,A14,Vertragseingänge!$E$4:$E$500,Steuerung!$B$21)),IF(COUNTIFS(Vertragseingänge!$A$4:$A$500,A14,Vertragseingänge!$E$4:$E$500,Steuerung!$B$21,Vertragseingänge!$C$4:$C$500,$E$4*1)=0,"",COUNTIFS(Vertragseingänge!$A$4:$A$500,A14,Vertragseingänge!$E$4:$E$500,Steuerung!$B$21,Vertragseingänge!$C$4:$C$500,$E$4*1)))),"")</f>
        <v/>
      </c>
      <c r="I14" s="5">
        <f>IFERROR(IF(Steuerung!$B$22="","",IF($E$4="Alle",IF(COUNTIFS(Vertragseingänge!$A$4:$A$500,A14,Vertragseingänge!$E$4:$E$500,Steuerung!$B$22)=0,"",COUNTIFS(Vertragseingänge!$A$4:$A$500,A14,Vertragseingänge!$E$4:$E$500,Steuerung!$B$22)),IF(COUNTIFS(Vertragseingänge!$A$4:$A$500,A14,Vertragseingänge!$E$4:$E$500,Steuerung!$B$22,Vertragseingänge!$C$4:$C$500,$E$4*1)=0,"",COUNTIFS(Vertragseingänge!$A$4:$A$500,A14,Vertragseingänge!$E$4:$E$500,Steuerung!$B$22,Vertragseingänge!$C$4:$C$500,$E$4*1)))),"")</f>
        <v>1</v>
      </c>
      <c r="J14" s="5">
        <f t="shared" si="0"/>
        <v>2</v>
      </c>
    </row>
    <row r="15" spans="1:16" ht="21.75" customHeight="1" x14ac:dyDescent="0.25">
      <c r="A15" s="7" t="s">
        <v>25</v>
      </c>
      <c r="B15" s="8">
        <f>IF($E$4="Alle",COUNTIFS(Vertragseingänge!$A$4:$A$500,A15),COUNTIFS(Vertragseingänge!$A$4:$A$500,A15,Vertragseingänge!$C$4:$C$500,$E$4*1))</f>
        <v>8</v>
      </c>
      <c r="C15" s="9">
        <f>IFERROR(IF(Steuerung!$B$16="","",IF($E$4="Alle",IF(COUNTIFS(Vertragseingänge!$A$4:$A$500,A15,Vertragseingänge!$E$4:$E$500,Steuerung!$B$16)=0,"",COUNTIFS(Vertragseingänge!$A$4:$A$500,A15,Vertragseingänge!$E$4:$E$500,Steuerung!$B$16)),IF(COUNTIFS(Vertragseingänge!$A$4:$A$500,A15,Vertragseingänge!$E$4:$E$500,Steuerung!$B$16,Vertragseingänge!$C$4:$C$500,$E$4*1)=0,"",COUNTIFS(Vertragseingänge!$A$4:$A$500,A15,Vertragseingänge!$E$4:$E$500,Steuerung!$B$16,Vertragseingänge!$C$4:$C$500,$E$4*1)))),"")</f>
        <v>3</v>
      </c>
      <c r="D15" s="9">
        <f>IFERROR(IF(Steuerung!$B$17="","",IF($E$4="Alle",IF(COUNTIFS(Vertragseingänge!$A$4:$A$500,A15,Vertragseingänge!$E$4:$E$500,Steuerung!$B$17)=0,"",COUNTIFS(Vertragseingänge!$A$4:$A$500,A15,Vertragseingänge!$E$4:$E$500,Steuerung!$B$17)),IF(COUNTIFS(Vertragseingänge!$A$4:$A$500,A15,Vertragseingänge!$E$4:$E$500,Steuerung!$B$17,Vertragseingänge!$C$4:$C$500,$E$4*1)=0,"",COUNTIFS(Vertragseingänge!$A$4:$A$500,A15,Vertragseingänge!$E$4:$E$500,Steuerung!$B$17,Vertragseingänge!$C$4:$C$500,$E$4*1)))),"")</f>
        <v>5</v>
      </c>
      <c r="E15" s="9" t="str">
        <f>IFERROR(IF(Steuerung!$B$18="","",IF($E$4="Alle",IF(COUNTIFS(Vertragseingänge!$A$4:$A$500,A15,Vertragseingänge!$E$4:$E$500,Steuerung!$B$18)=0,"",COUNTIFS(Vertragseingänge!$A$4:$A$500,A15,Vertragseingänge!$E$4:$E$500,Steuerung!$B$18)),IF(COUNTIFS(Vertragseingänge!$A$4:$A$500,A15,Vertragseingänge!$E$4:$E$500,Steuerung!$B$18,Vertragseingänge!$C$4:$C$500,$E$4*1)=0,"",COUNTIFS(Vertragseingänge!$A$4:$A$500,A15,Vertragseingänge!$E$4:$E$500,Steuerung!$B$18,Vertragseingänge!$C$4:$C$500,$E$4*1)))),"")</f>
        <v/>
      </c>
      <c r="F15" s="9" t="str">
        <f>IFERROR(IF(Steuerung!$B$19="","",IF($E$4="Alle",IF(COUNTIFS(Vertragseingänge!$A$4:$A$500,A15,Vertragseingänge!$E$4:$E$500,Steuerung!$B$19)=0,"",COUNTIFS(Vertragseingänge!$A$4:$A$500,A15,Vertragseingänge!$E$4:$E$500,Steuerung!$B$19)),IF(COUNTIFS(Vertragseingänge!$A$4:$A$500,A15,Vertragseingänge!$E$4:$E$500,Steuerung!$B$19,Vertragseingänge!$C$4:$C$500,$E$4*1)=0,"",COUNTIFS(Vertragseingänge!$A$4:$A$500,A15,Vertragseingänge!$E$4:$E$500,Steuerung!$B$19,Vertragseingänge!$C$4:$C$500,$E$4*1)))),"")</f>
        <v/>
      </c>
      <c r="G15" s="9" t="str">
        <f>IFERROR(IF(Steuerung!$B$20="","",IF($E$4="Alle",IF(COUNTIFS(Vertragseingänge!$A$4:$A$500,A15,Vertragseingänge!$E$4:$E$500,Steuerung!$B$20)=0,"",COUNTIFS(Vertragseingänge!$A$4:$A$500,A15,Vertragseingänge!$E$4:$E$500,Steuerung!$B$20)),IF(COUNTIFS(Vertragseingänge!$A$4:$A$500,A15,Vertragseingänge!$E$4:$E$500,Steuerung!$B$20,Vertragseingänge!$C$4:$C$500,$E$4*1)=0,"",COUNTIFS(Vertragseingänge!$A$4:$A$500,A15,Vertragseingänge!$E$4:$E$500,Steuerung!$B$20,Vertragseingänge!$C$4:$C$500,$E$4*1)))),"")</f>
        <v/>
      </c>
      <c r="H15" s="9" t="str">
        <f>IFERROR(IF(Steuerung!$B$21="","",IF($E$4="Alle",IF(COUNTIFS(Vertragseingänge!$A$4:$A$500,A15,Vertragseingänge!$E$4:$E$500,Steuerung!$B$21)=0,"",COUNTIFS(Vertragseingänge!$A$4:$A$500,A15,Vertragseingänge!$E$4:$E$500,Steuerung!$B$21)),IF(COUNTIFS(Vertragseingänge!$A$4:$A$500,A15,Vertragseingänge!$E$4:$E$500,Steuerung!$B$21,Vertragseingänge!$C$4:$C$500,$E$4*1)=0,"",COUNTIFS(Vertragseingänge!$A$4:$A$500,A15,Vertragseingänge!$E$4:$E$500,Steuerung!$B$21,Vertragseingänge!$C$4:$C$500,$E$4*1)))),"")</f>
        <v/>
      </c>
      <c r="I15" s="9" t="str">
        <f>IFERROR(IF(Steuerung!$B$22="","",IF($E$4="Alle",IF(COUNTIFS(Vertragseingänge!$A$4:$A$500,A15,Vertragseingänge!$E$4:$E$500,Steuerung!$B$22)=0,"",COUNTIFS(Vertragseingänge!$A$4:$A$500,A15,Vertragseingänge!$E$4:$E$500,Steuerung!$B$22)),IF(COUNTIFS(Vertragseingänge!$A$4:$A$500,A15,Vertragseingänge!$E$4:$E$500,Steuerung!$B$22,Vertragseingänge!$C$4:$C$500,$E$4*1)=0,"",COUNTIFS(Vertragseingänge!$A$4:$A$500,A15,Vertragseingänge!$E$4:$E$500,Steuerung!$B$22,Vertragseingänge!$C$4:$C$500,$E$4*1)))),"")</f>
        <v/>
      </c>
      <c r="J15" s="9" t="str">
        <f t="shared" si="0"/>
        <v/>
      </c>
      <c r="L15" s="114" t="s">
        <v>26</v>
      </c>
      <c r="M15" s="114"/>
      <c r="N15" s="114"/>
      <c r="O15" s="114"/>
      <c r="P15" s="114"/>
    </row>
    <row r="16" spans="1:16" ht="15" customHeight="1" x14ac:dyDescent="0.25">
      <c r="A16" s="3" t="s">
        <v>27</v>
      </c>
      <c r="B16" s="4">
        <f>IF($E$4="Alle",COUNTIFS(Vertragseingänge!$A$4:$A$500,A16),COUNTIFS(Vertragseingänge!$A$4:$A$500,A16,Vertragseingänge!$C$4:$C$500,$E$4*1))</f>
        <v>7</v>
      </c>
      <c r="C16" s="5">
        <f>IFERROR(IF(Steuerung!$B$16="","",IF($E$4="Alle",IF(COUNTIFS(Vertragseingänge!$A$4:$A$500,A16,Vertragseingänge!$E$4:$E$500,Steuerung!$B$16)=0,"",COUNTIFS(Vertragseingänge!$A$4:$A$500,A16,Vertragseingänge!$E$4:$E$500,Steuerung!$B$16)),IF(COUNTIFS(Vertragseingänge!$A$4:$A$500,A16,Vertragseingänge!$E$4:$E$500,Steuerung!$B$16,Vertragseingänge!$C$4:$C$500,$E$4*1)=0,"",COUNTIFS(Vertragseingänge!$A$4:$A$500,A16,Vertragseingänge!$E$4:$E$500,Steuerung!$B$16,Vertragseingänge!$C$4:$C$500,$E$4*1)))),"")</f>
        <v>3</v>
      </c>
      <c r="D16" s="5">
        <f>IFERROR(IF(Steuerung!$B$17="","",IF($E$4="Alle",IF(COUNTIFS(Vertragseingänge!$A$4:$A$500,A16,Vertragseingänge!$E$4:$E$500,Steuerung!$B$17)=0,"",COUNTIFS(Vertragseingänge!$A$4:$A$500,A16,Vertragseingänge!$E$4:$E$500,Steuerung!$B$17)),IF(COUNTIFS(Vertragseingänge!$A$4:$A$500,A16,Vertragseingänge!$E$4:$E$500,Steuerung!$B$17,Vertragseingänge!$C$4:$C$500,$E$4*1)=0,"",COUNTIFS(Vertragseingänge!$A$4:$A$500,A16,Vertragseingänge!$E$4:$E$500,Steuerung!$B$17,Vertragseingänge!$C$4:$C$500,$E$4*1)))),"")</f>
        <v>2</v>
      </c>
      <c r="E16" s="5">
        <f>IFERROR(IF(Steuerung!$B$18="","",IF($E$4="Alle",IF(COUNTIFS(Vertragseingänge!$A$4:$A$500,A16,Vertragseingänge!$E$4:$E$500,Steuerung!$B$18)=0,"",COUNTIFS(Vertragseingänge!$A$4:$A$500,A16,Vertragseingänge!$E$4:$E$500,Steuerung!$B$18)),IF(COUNTIFS(Vertragseingänge!$A$4:$A$500,A16,Vertragseingänge!$E$4:$E$500,Steuerung!$B$18,Vertragseingänge!$C$4:$C$500,$E$4*1)=0,"",COUNTIFS(Vertragseingänge!$A$4:$A$500,A16,Vertragseingänge!$E$4:$E$500,Steuerung!$B$18,Vertragseingänge!$C$4:$C$500,$E$4*1)))),"")</f>
        <v>1</v>
      </c>
      <c r="F16" s="5" t="str">
        <f>IFERROR(IF(Steuerung!$B$19="","",IF($E$4="Alle",IF(COUNTIFS(Vertragseingänge!$A$4:$A$500,A16,Vertragseingänge!$E$4:$E$500,Steuerung!$B$19)=0,"",COUNTIFS(Vertragseingänge!$A$4:$A$500,A16,Vertragseingänge!$E$4:$E$500,Steuerung!$B$19)),IF(COUNTIFS(Vertragseingänge!$A$4:$A$500,A16,Vertragseingänge!$E$4:$E$500,Steuerung!$B$19,Vertragseingänge!$C$4:$C$500,$E$4*1)=0,"",COUNTIFS(Vertragseingänge!$A$4:$A$500,A16,Vertragseingänge!$E$4:$E$500,Steuerung!$B$19,Vertragseingänge!$C$4:$C$500,$E$4*1)))),"")</f>
        <v/>
      </c>
      <c r="G16" s="5" t="str">
        <f>IFERROR(IF(Steuerung!$B$20="","",IF($E$4="Alle",IF(COUNTIFS(Vertragseingänge!$A$4:$A$500,A16,Vertragseingänge!$E$4:$E$500,Steuerung!$B$20)=0,"",COUNTIFS(Vertragseingänge!$A$4:$A$500,A16,Vertragseingänge!$E$4:$E$500,Steuerung!$B$20)),IF(COUNTIFS(Vertragseingänge!$A$4:$A$500,A16,Vertragseingänge!$E$4:$E$500,Steuerung!$B$20,Vertragseingänge!$C$4:$C$500,$E$4*1)=0,"",COUNTIFS(Vertragseingänge!$A$4:$A$500,A16,Vertragseingänge!$E$4:$E$500,Steuerung!$B$20,Vertragseingänge!$C$4:$C$500,$E$4*1)))),"")</f>
        <v/>
      </c>
      <c r="H16" s="5">
        <f>IFERROR(IF(Steuerung!$B$21="","",IF($E$4="Alle",IF(COUNTIFS(Vertragseingänge!$A$4:$A$500,A16,Vertragseingänge!$E$4:$E$500,Steuerung!$B$21)=0,"",COUNTIFS(Vertragseingänge!$A$4:$A$500,A16,Vertragseingänge!$E$4:$E$500,Steuerung!$B$21)),IF(COUNTIFS(Vertragseingänge!$A$4:$A$500,A16,Vertragseingänge!$E$4:$E$500,Steuerung!$B$21,Vertragseingänge!$C$4:$C$500,$E$4*1)=0,"",COUNTIFS(Vertragseingänge!$A$4:$A$500,A16,Vertragseingänge!$E$4:$E$500,Steuerung!$B$21,Vertragseingänge!$C$4:$C$500,$E$4*1)))),"")</f>
        <v>1</v>
      </c>
      <c r="I16" s="5" t="str">
        <f>IFERROR(IF(Steuerung!$B$22="","",IF($E$4="Alle",IF(COUNTIFS(Vertragseingänge!$A$4:$A$500,A16,Vertragseingänge!$E$4:$E$500,Steuerung!$B$22)=0,"",COUNTIFS(Vertragseingänge!$A$4:$A$500,A16,Vertragseingänge!$E$4:$E$500,Steuerung!$B$22)),IF(COUNTIFS(Vertragseingänge!$A$4:$A$500,A16,Vertragseingänge!$E$4:$E$500,Steuerung!$B$22,Vertragseingänge!$C$4:$C$500,$E$4*1)=0,"",COUNTIFS(Vertragseingänge!$A$4:$A$500,A16,Vertragseingänge!$E$4:$E$500,Steuerung!$B$22,Vertragseingänge!$C$4:$C$500,$E$4*1)))),"")</f>
        <v/>
      </c>
      <c r="J16" s="5" t="str">
        <f t="shared" si="0"/>
        <v/>
      </c>
      <c r="L16" s="6" t="s">
        <v>12</v>
      </c>
      <c r="M16" s="6" t="s">
        <v>13</v>
      </c>
      <c r="N16" s="6" t="s">
        <v>14</v>
      </c>
      <c r="O16" s="6" t="s">
        <v>28</v>
      </c>
      <c r="P16" s="6"/>
    </row>
    <row r="17" spans="1:16" ht="15" customHeight="1" x14ac:dyDescent="0.25">
      <c r="A17" s="7" t="s">
        <v>29</v>
      </c>
      <c r="B17" s="8">
        <f>IF($E$4="Alle",COUNTIFS(Vertragseingänge!$A$4:$A$500,A17),COUNTIFS(Vertragseingänge!$A$4:$A$500,A17,Vertragseingänge!$C$4:$C$500,$E$4*1))</f>
        <v>2</v>
      </c>
      <c r="C17" s="9">
        <f>IFERROR(IF(Steuerung!$B$16="","",IF($E$4="Alle",IF(COUNTIFS(Vertragseingänge!$A$4:$A$500,A17,Vertragseingänge!$E$4:$E$500,Steuerung!$B$16)=0,"",COUNTIFS(Vertragseingänge!$A$4:$A$500,A17,Vertragseingänge!$E$4:$E$500,Steuerung!$B$16)),IF(COUNTIFS(Vertragseingänge!$A$4:$A$500,A17,Vertragseingänge!$E$4:$E$500,Steuerung!$B$16,Vertragseingänge!$C$4:$C$500,$E$4*1)=0,"",COUNTIFS(Vertragseingänge!$A$4:$A$500,A17,Vertragseingänge!$E$4:$E$500,Steuerung!$B$16,Vertragseingänge!$C$4:$C$500,$E$4*1)))),"")</f>
        <v>2</v>
      </c>
      <c r="D17" s="9" t="str">
        <f>IFERROR(IF(Steuerung!$B$17="","",IF($E$4="Alle",IF(COUNTIFS(Vertragseingänge!$A$4:$A$500,A17,Vertragseingänge!$E$4:$E$500,Steuerung!$B$17)=0,"",COUNTIFS(Vertragseingänge!$A$4:$A$500,A17,Vertragseingänge!$E$4:$E$500,Steuerung!$B$17)),IF(COUNTIFS(Vertragseingänge!$A$4:$A$500,A17,Vertragseingänge!$E$4:$E$500,Steuerung!$B$17,Vertragseingänge!$C$4:$C$500,$E$4*1)=0,"",COUNTIFS(Vertragseingänge!$A$4:$A$500,A17,Vertragseingänge!$E$4:$E$500,Steuerung!$B$17,Vertragseingänge!$C$4:$C$500,$E$4*1)))),"")</f>
        <v/>
      </c>
      <c r="E17" s="9" t="str">
        <f>IFERROR(IF(Steuerung!$B$18="","",IF($E$4="Alle",IF(COUNTIFS(Vertragseingänge!$A$4:$A$500,A17,Vertragseingänge!$E$4:$E$500,Steuerung!$B$18)=0,"",COUNTIFS(Vertragseingänge!$A$4:$A$500,A17,Vertragseingänge!$E$4:$E$500,Steuerung!$B$18)),IF(COUNTIFS(Vertragseingänge!$A$4:$A$500,A17,Vertragseingänge!$E$4:$E$500,Steuerung!$B$18,Vertragseingänge!$C$4:$C$500,$E$4*1)=0,"",COUNTIFS(Vertragseingänge!$A$4:$A$500,A17,Vertragseingänge!$E$4:$E$500,Steuerung!$B$18,Vertragseingänge!$C$4:$C$500,$E$4*1)))),"")</f>
        <v/>
      </c>
      <c r="F17" s="9" t="str">
        <f>IFERROR(IF(Steuerung!$B$19="","",IF($E$4="Alle",IF(COUNTIFS(Vertragseingänge!$A$4:$A$500,A17,Vertragseingänge!$E$4:$E$500,Steuerung!$B$19)=0,"",COUNTIFS(Vertragseingänge!$A$4:$A$500,A17,Vertragseingänge!$E$4:$E$500,Steuerung!$B$19)),IF(COUNTIFS(Vertragseingänge!$A$4:$A$500,A17,Vertragseingänge!$E$4:$E$500,Steuerung!$B$19,Vertragseingänge!$C$4:$C$500,$E$4*1)=0,"",COUNTIFS(Vertragseingänge!$A$4:$A$500,A17,Vertragseingänge!$E$4:$E$500,Steuerung!$B$19,Vertragseingänge!$C$4:$C$500,$E$4*1)))),"")</f>
        <v/>
      </c>
      <c r="G17" s="9" t="str">
        <f>IFERROR(IF(Steuerung!$B$20="","",IF($E$4="Alle",IF(COUNTIFS(Vertragseingänge!$A$4:$A$500,A17,Vertragseingänge!$E$4:$E$500,Steuerung!$B$20)=0,"",COUNTIFS(Vertragseingänge!$A$4:$A$500,A17,Vertragseingänge!$E$4:$E$500,Steuerung!$B$20)),IF(COUNTIFS(Vertragseingänge!$A$4:$A$500,A17,Vertragseingänge!$E$4:$E$500,Steuerung!$B$20,Vertragseingänge!$C$4:$C$500,$E$4*1)=0,"",COUNTIFS(Vertragseingänge!$A$4:$A$500,A17,Vertragseingänge!$E$4:$E$500,Steuerung!$B$20,Vertragseingänge!$C$4:$C$500,$E$4*1)))),"")</f>
        <v/>
      </c>
      <c r="H17" s="9" t="str">
        <f>IFERROR(IF(Steuerung!$B$21="","",IF($E$4="Alle",IF(COUNTIFS(Vertragseingänge!$A$4:$A$500,A17,Vertragseingänge!$E$4:$E$500,Steuerung!$B$21)=0,"",COUNTIFS(Vertragseingänge!$A$4:$A$500,A17,Vertragseingänge!$E$4:$E$500,Steuerung!$B$21)),IF(COUNTIFS(Vertragseingänge!$A$4:$A$500,A17,Vertragseingänge!$E$4:$E$500,Steuerung!$B$21,Vertragseingänge!$C$4:$C$500,$E$4*1)=0,"",COUNTIFS(Vertragseingänge!$A$4:$A$500,A17,Vertragseingänge!$E$4:$E$500,Steuerung!$B$21,Vertragseingänge!$C$4:$C$500,$E$4*1)))),"")</f>
        <v/>
      </c>
      <c r="I17" s="9" t="str">
        <f>IFERROR(IF(Steuerung!$B$22="","",IF($E$4="Alle",IF(COUNTIFS(Vertragseingänge!$A$4:$A$500,A17,Vertragseingänge!$E$4:$E$500,Steuerung!$B$22)=0,"",COUNTIFS(Vertragseingänge!$A$4:$A$500,A17,Vertragseingänge!$E$4:$E$500,Steuerung!$B$22)),IF(COUNTIFS(Vertragseingänge!$A$4:$A$500,A17,Vertragseingänge!$E$4:$E$500,Steuerung!$B$22,Vertragseingänge!$C$4:$C$500,$E$4*1)=0,"",COUNTIFS(Vertragseingänge!$A$4:$A$500,A17,Vertragseingänge!$E$4:$E$500,Steuerung!$B$22,Vertragseingänge!$C$4:$C$500,$E$4*1)))),"")</f>
        <v/>
      </c>
      <c r="J17" s="9" t="str">
        <f t="shared" si="0"/>
        <v/>
      </c>
      <c r="L17" s="20" t="str">
        <f>IF(Steuerung!B6="","",Steuerung!C6)</f>
        <v>Fatima</v>
      </c>
      <c r="M17" s="21">
        <f ca="1">IF(Steuerung!$B$6="","",IF($E$4="Alle",SUMIFS('Leads Rohdaten'!$D$4:$D$503,'Leads Rohdaten'!$C$4:$C$503,Steuerung!$B$6,'Leads Rohdaten'!$H$4:$H$503,"Frisch"),SUMIFS('Leads Rohdaten'!$D$4:$D$503,'Leads Rohdaten'!$C$4:$C$503,Steuerung!$B$6,'Leads Rohdaten'!$H$4:$H$503,"Frisch",'Leads Rohdaten'!$A$4:$A$503,$E$4*1)))</f>
        <v>178</v>
      </c>
      <c r="N17" s="22">
        <f ca="1">IF(Steuerung!$B$6="","",IF($E$4="Alle",SUMIFS('Leads Rohdaten'!$E$4:$E$503,'Leads Rohdaten'!$C$4:$C$503,Steuerung!$B$6,'Leads Rohdaten'!$H$4:$H$503,"Frisch"),SUMIFS('Leads Rohdaten'!$E$4:$E$503,'Leads Rohdaten'!$C$4:$C$503,Steuerung!$B$6,'Leads Rohdaten'!$H$4:$H$503,"Frisch",'Leads Rohdaten'!$A$4:$A$503,$E$4*1)))</f>
        <v>28</v>
      </c>
      <c r="O17" s="23" t="str">
        <f>IF(Steuerung!$B$6="","","⏳ läuft")</f>
        <v>⏳ läuft</v>
      </c>
      <c r="P17" s="24"/>
    </row>
    <row r="18" spans="1:16" ht="15" customHeight="1" x14ac:dyDescent="0.25">
      <c r="A18" s="3" t="s">
        <v>30</v>
      </c>
      <c r="B18" s="4">
        <f>IF($E$4="Alle",COUNTIFS(Vertragseingänge!$A$4:$A$500,A18),COUNTIFS(Vertragseingänge!$A$4:$A$500,A18,Vertragseingänge!$C$4:$C$500,$E$4*1))</f>
        <v>0</v>
      </c>
      <c r="C18" s="5" t="str">
        <f>IFERROR(IF(Steuerung!$B$16="","",IF($E$4="Alle",IF(COUNTIFS(Vertragseingänge!$A$4:$A$500,A18,Vertragseingänge!$E$4:$E$500,Steuerung!$B$16)=0,"",COUNTIFS(Vertragseingänge!$A$4:$A$500,A18,Vertragseingänge!$E$4:$E$500,Steuerung!$B$16)),IF(COUNTIFS(Vertragseingänge!$A$4:$A$500,A18,Vertragseingänge!$E$4:$E$500,Steuerung!$B$16,Vertragseingänge!$C$4:$C$500,$E$4*1)=0,"",COUNTIFS(Vertragseingänge!$A$4:$A$500,A18,Vertragseingänge!$E$4:$E$500,Steuerung!$B$16,Vertragseingänge!$C$4:$C$500,$E$4*1)))),"")</f>
        <v/>
      </c>
      <c r="D18" s="5" t="str">
        <f>IFERROR(IF(Steuerung!$B$17="","",IF($E$4="Alle",IF(COUNTIFS(Vertragseingänge!$A$4:$A$500,A18,Vertragseingänge!$E$4:$E$500,Steuerung!$B$17)=0,"",COUNTIFS(Vertragseingänge!$A$4:$A$500,A18,Vertragseingänge!$E$4:$E$500,Steuerung!$B$17)),IF(COUNTIFS(Vertragseingänge!$A$4:$A$500,A18,Vertragseingänge!$E$4:$E$500,Steuerung!$B$17,Vertragseingänge!$C$4:$C$500,$E$4*1)=0,"",COUNTIFS(Vertragseingänge!$A$4:$A$500,A18,Vertragseingänge!$E$4:$E$500,Steuerung!$B$17,Vertragseingänge!$C$4:$C$500,$E$4*1)))),"")</f>
        <v/>
      </c>
      <c r="E18" s="5" t="str">
        <f>IFERROR(IF(Steuerung!$B$18="","",IF($E$4="Alle",IF(COUNTIFS(Vertragseingänge!$A$4:$A$500,A18,Vertragseingänge!$E$4:$E$500,Steuerung!$B$18)=0,"",COUNTIFS(Vertragseingänge!$A$4:$A$500,A18,Vertragseingänge!$E$4:$E$500,Steuerung!$B$18)),IF(COUNTIFS(Vertragseingänge!$A$4:$A$500,A18,Vertragseingänge!$E$4:$E$500,Steuerung!$B$18,Vertragseingänge!$C$4:$C$500,$E$4*1)=0,"",COUNTIFS(Vertragseingänge!$A$4:$A$500,A18,Vertragseingänge!$E$4:$E$500,Steuerung!$B$18,Vertragseingänge!$C$4:$C$500,$E$4*1)))),"")</f>
        <v/>
      </c>
      <c r="F18" s="5" t="str">
        <f>IFERROR(IF(Steuerung!$B$19="","",IF($E$4="Alle",IF(COUNTIFS(Vertragseingänge!$A$4:$A$500,A18,Vertragseingänge!$E$4:$E$500,Steuerung!$B$19)=0,"",COUNTIFS(Vertragseingänge!$A$4:$A$500,A18,Vertragseingänge!$E$4:$E$500,Steuerung!$B$19)),IF(COUNTIFS(Vertragseingänge!$A$4:$A$500,A18,Vertragseingänge!$E$4:$E$500,Steuerung!$B$19,Vertragseingänge!$C$4:$C$500,$E$4*1)=0,"",COUNTIFS(Vertragseingänge!$A$4:$A$500,A18,Vertragseingänge!$E$4:$E$500,Steuerung!$B$19,Vertragseingänge!$C$4:$C$500,$E$4*1)))),"")</f>
        <v/>
      </c>
      <c r="G18" s="5" t="str">
        <f>IFERROR(IF(Steuerung!$B$20="","",IF($E$4="Alle",IF(COUNTIFS(Vertragseingänge!$A$4:$A$500,A18,Vertragseingänge!$E$4:$E$500,Steuerung!$B$20)=0,"",COUNTIFS(Vertragseingänge!$A$4:$A$500,A18,Vertragseingänge!$E$4:$E$500,Steuerung!$B$20)),IF(COUNTIFS(Vertragseingänge!$A$4:$A$500,A18,Vertragseingänge!$E$4:$E$500,Steuerung!$B$20,Vertragseingänge!$C$4:$C$500,$E$4*1)=0,"",COUNTIFS(Vertragseingänge!$A$4:$A$500,A18,Vertragseingänge!$E$4:$E$500,Steuerung!$B$20,Vertragseingänge!$C$4:$C$500,$E$4*1)))),"")</f>
        <v/>
      </c>
      <c r="H18" s="5" t="str">
        <f>IFERROR(IF(Steuerung!$B$21="","",IF($E$4="Alle",IF(COUNTIFS(Vertragseingänge!$A$4:$A$500,A18,Vertragseingänge!$E$4:$E$500,Steuerung!$B$21)=0,"",COUNTIFS(Vertragseingänge!$A$4:$A$500,A18,Vertragseingänge!$E$4:$E$500,Steuerung!$B$21)),IF(COUNTIFS(Vertragseingänge!$A$4:$A$500,A18,Vertragseingänge!$E$4:$E$500,Steuerung!$B$21,Vertragseingänge!$C$4:$C$500,$E$4*1)=0,"",COUNTIFS(Vertragseingänge!$A$4:$A$500,A18,Vertragseingänge!$E$4:$E$500,Steuerung!$B$21,Vertragseingänge!$C$4:$C$500,$E$4*1)))),"")</f>
        <v/>
      </c>
      <c r="I18" s="5" t="str">
        <f>IFERROR(IF(Steuerung!$B$22="","",IF($E$4="Alle",IF(COUNTIFS(Vertragseingänge!$A$4:$A$500,A18,Vertragseingänge!$E$4:$E$500,Steuerung!$B$22)=0,"",COUNTIFS(Vertragseingänge!$A$4:$A$500,A18,Vertragseingänge!$E$4:$E$500,Steuerung!$B$22)),IF(COUNTIFS(Vertragseingänge!$A$4:$A$500,A18,Vertragseingänge!$E$4:$E$500,Steuerung!$B$22,Vertragseingänge!$C$4:$C$500,$E$4*1)=0,"",COUNTIFS(Vertragseingänge!$A$4:$A$500,A18,Vertragseingänge!$E$4:$E$500,Steuerung!$B$22,Vertragseingänge!$C$4:$C$500,$E$4*1)))),"")</f>
        <v/>
      </c>
      <c r="J18" s="5" t="str">
        <f t="shared" si="0"/>
        <v/>
      </c>
      <c r="L18" s="20" t="str">
        <f>IF(Steuerung!B7="","",Steuerung!C7)</f>
        <v>Gabriella</v>
      </c>
      <c r="M18" s="21">
        <f ca="1">IF(Steuerung!$B$7="","",IF($E$4="Alle",SUMIFS('Leads Rohdaten'!$D$4:$D$503,'Leads Rohdaten'!$C$4:$C$503,Steuerung!$B$7,'Leads Rohdaten'!$H$4:$H$503,"Frisch"),SUMIFS('Leads Rohdaten'!$D$4:$D$503,'Leads Rohdaten'!$C$4:$C$503,Steuerung!$B$7,'Leads Rohdaten'!$H$4:$H$503,"Frisch",'Leads Rohdaten'!$A$4:$A$503,$E$4*1)))</f>
        <v>30</v>
      </c>
      <c r="N18" s="22">
        <f ca="1">IF(Steuerung!$B$7="","",IF($E$4="Alle",SUMIFS('Leads Rohdaten'!$E$4:$E$503,'Leads Rohdaten'!$C$4:$C$503,Steuerung!$B$7,'Leads Rohdaten'!$H$4:$H$503,"Frisch"),SUMIFS('Leads Rohdaten'!$E$4:$E$503,'Leads Rohdaten'!$C$4:$C$503,Steuerung!$B$7,'Leads Rohdaten'!$H$4:$H$503,"Frisch",'Leads Rohdaten'!$A$4:$A$503,$E$4*1)))</f>
        <v>3</v>
      </c>
      <c r="O18" s="23" t="str">
        <f>IF(Steuerung!$B$7="","","⏳ läuft")</f>
        <v>⏳ läuft</v>
      </c>
      <c r="P18" s="24"/>
    </row>
    <row r="19" spans="1:16" ht="15" customHeight="1" x14ac:dyDescent="0.25">
      <c r="A19" s="7" t="s">
        <v>31</v>
      </c>
      <c r="B19" s="8">
        <f>IF($E$4="Alle",COUNTIFS(Vertragseingänge!$A$4:$A$500,A19),COUNTIFS(Vertragseingänge!$A$4:$A$500,A19,Vertragseingänge!$C$4:$C$500,$E$4*1))</f>
        <v>8</v>
      </c>
      <c r="C19" s="9">
        <f>IFERROR(IF(Steuerung!$B$16="","",IF($E$4="Alle",IF(COUNTIFS(Vertragseingänge!$A$4:$A$500,A19,Vertragseingänge!$E$4:$E$500,Steuerung!$B$16)=0,"",COUNTIFS(Vertragseingänge!$A$4:$A$500,A19,Vertragseingänge!$E$4:$E$500,Steuerung!$B$16)),IF(COUNTIFS(Vertragseingänge!$A$4:$A$500,A19,Vertragseingänge!$E$4:$E$500,Steuerung!$B$16,Vertragseingänge!$C$4:$C$500,$E$4*1)=0,"",COUNTIFS(Vertragseingänge!$A$4:$A$500,A19,Vertragseingänge!$E$4:$E$500,Steuerung!$B$16,Vertragseingänge!$C$4:$C$500,$E$4*1)))),"")</f>
        <v>4</v>
      </c>
      <c r="D19" s="9">
        <f>IFERROR(IF(Steuerung!$B$17="","",IF($E$4="Alle",IF(COUNTIFS(Vertragseingänge!$A$4:$A$500,A19,Vertragseingänge!$E$4:$E$500,Steuerung!$B$17)=0,"",COUNTIFS(Vertragseingänge!$A$4:$A$500,A19,Vertragseingänge!$E$4:$E$500,Steuerung!$B$17)),IF(COUNTIFS(Vertragseingänge!$A$4:$A$500,A19,Vertragseingänge!$E$4:$E$500,Steuerung!$B$17,Vertragseingänge!$C$4:$C$500,$E$4*1)=0,"",COUNTIFS(Vertragseingänge!$A$4:$A$500,A19,Vertragseingänge!$E$4:$E$500,Steuerung!$B$17,Vertragseingänge!$C$4:$C$500,$E$4*1)))),"")</f>
        <v>4</v>
      </c>
      <c r="E19" s="9" t="str">
        <f>IFERROR(IF(Steuerung!$B$18="","",IF($E$4="Alle",IF(COUNTIFS(Vertragseingänge!$A$4:$A$500,A19,Vertragseingänge!$E$4:$E$500,Steuerung!$B$18)=0,"",COUNTIFS(Vertragseingänge!$A$4:$A$500,A19,Vertragseingänge!$E$4:$E$500,Steuerung!$B$18)),IF(COUNTIFS(Vertragseingänge!$A$4:$A$500,A19,Vertragseingänge!$E$4:$E$500,Steuerung!$B$18,Vertragseingänge!$C$4:$C$500,$E$4*1)=0,"",COUNTIFS(Vertragseingänge!$A$4:$A$500,A19,Vertragseingänge!$E$4:$E$500,Steuerung!$B$18,Vertragseingänge!$C$4:$C$500,$E$4*1)))),"")</f>
        <v/>
      </c>
      <c r="F19" s="9" t="str">
        <f>IFERROR(IF(Steuerung!$B$19="","",IF($E$4="Alle",IF(COUNTIFS(Vertragseingänge!$A$4:$A$500,A19,Vertragseingänge!$E$4:$E$500,Steuerung!$B$19)=0,"",COUNTIFS(Vertragseingänge!$A$4:$A$500,A19,Vertragseingänge!$E$4:$E$500,Steuerung!$B$19)),IF(COUNTIFS(Vertragseingänge!$A$4:$A$500,A19,Vertragseingänge!$E$4:$E$500,Steuerung!$B$19,Vertragseingänge!$C$4:$C$500,$E$4*1)=0,"",COUNTIFS(Vertragseingänge!$A$4:$A$500,A19,Vertragseingänge!$E$4:$E$500,Steuerung!$B$19,Vertragseingänge!$C$4:$C$500,$E$4*1)))),"")</f>
        <v/>
      </c>
      <c r="G19" s="9" t="str">
        <f>IFERROR(IF(Steuerung!$B$20="","",IF($E$4="Alle",IF(COUNTIFS(Vertragseingänge!$A$4:$A$500,A19,Vertragseingänge!$E$4:$E$500,Steuerung!$B$20)=0,"",COUNTIFS(Vertragseingänge!$A$4:$A$500,A19,Vertragseingänge!$E$4:$E$500,Steuerung!$B$20)),IF(COUNTIFS(Vertragseingänge!$A$4:$A$500,A19,Vertragseingänge!$E$4:$E$500,Steuerung!$B$20,Vertragseingänge!$C$4:$C$500,$E$4*1)=0,"",COUNTIFS(Vertragseingänge!$A$4:$A$500,A19,Vertragseingänge!$E$4:$E$500,Steuerung!$B$20,Vertragseingänge!$C$4:$C$500,$E$4*1)))),"")</f>
        <v/>
      </c>
      <c r="H19" s="9" t="str">
        <f>IFERROR(IF(Steuerung!$B$21="","",IF($E$4="Alle",IF(COUNTIFS(Vertragseingänge!$A$4:$A$500,A19,Vertragseingänge!$E$4:$E$500,Steuerung!$B$21)=0,"",COUNTIFS(Vertragseingänge!$A$4:$A$500,A19,Vertragseingänge!$E$4:$E$500,Steuerung!$B$21)),IF(COUNTIFS(Vertragseingänge!$A$4:$A$500,A19,Vertragseingänge!$E$4:$E$500,Steuerung!$B$21,Vertragseingänge!$C$4:$C$500,$E$4*1)=0,"",COUNTIFS(Vertragseingänge!$A$4:$A$500,A19,Vertragseingänge!$E$4:$E$500,Steuerung!$B$21,Vertragseingänge!$C$4:$C$500,$E$4*1)))),"")</f>
        <v/>
      </c>
      <c r="I19" s="9" t="str">
        <f>IFERROR(IF(Steuerung!$B$22="","",IF($E$4="Alle",IF(COUNTIFS(Vertragseingänge!$A$4:$A$500,A19,Vertragseingänge!$E$4:$E$500,Steuerung!$B$22)=0,"",COUNTIFS(Vertragseingänge!$A$4:$A$500,A19,Vertragseingänge!$E$4:$E$500,Steuerung!$B$22)),IF(COUNTIFS(Vertragseingänge!$A$4:$A$500,A19,Vertragseingänge!$E$4:$E$500,Steuerung!$B$22,Vertragseingänge!$C$4:$C$500,$E$4*1)=0,"",COUNTIFS(Vertragseingänge!$A$4:$A$500,A19,Vertragseingänge!$E$4:$E$500,Steuerung!$B$22,Vertragseingänge!$C$4:$C$500,$E$4*1)))),"")</f>
        <v/>
      </c>
      <c r="J19" s="9" t="str">
        <f t="shared" si="0"/>
        <v/>
      </c>
      <c r="L19" s="20" t="str">
        <f>IF(Steuerung!B8="","",Steuerung!C8)</f>
        <v>Gerd</v>
      </c>
      <c r="M19" s="21">
        <f ca="1">IF(Steuerung!$B$8="","",IF($E$4="Alle",SUMIFS('Leads Rohdaten'!$D$4:$D$503,'Leads Rohdaten'!$C$4:$C$503,Steuerung!$B$8,'Leads Rohdaten'!$H$4:$H$503,"Frisch"),SUMIFS('Leads Rohdaten'!$D$4:$D$503,'Leads Rohdaten'!$C$4:$C$503,Steuerung!$B$8,'Leads Rohdaten'!$H$4:$H$503,"Frisch",'Leads Rohdaten'!$A$4:$A$503,$E$4*1)))</f>
        <v>3</v>
      </c>
      <c r="N19" s="22">
        <f ca="1">IF(Steuerung!$B$8="","",IF($E$4="Alle",SUMIFS('Leads Rohdaten'!$E$4:$E$503,'Leads Rohdaten'!$C$4:$C$503,Steuerung!$B$8,'Leads Rohdaten'!$H$4:$H$503,"Frisch"),SUMIFS('Leads Rohdaten'!$E$4:$E$503,'Leads Rohdaten'!$C$4:$C$503,Steuerung!$B$8,'Leads Rohdaten'!$H$4:$H$503,"Frisch",'Leads Rohdaten'!$A$4:$A$503,$E$4*1)))</f>
        <v>0</v>
      </c>
      <c r="O19" s="23" t="str">
        <f>IF(Steuerung!$B$8="","","⏳ läuft")</f>
        <v>⏳ läuft</v>
      </c>
      <c r="P19" s="24"/>
    </row>
    <row r="20" spans="1:16" ht="15" customHeight="1" x14ac:dyDescent="0.25">
      <c r="A20" s="3" t="s">
        <v>32</v>
      </c>
      <c r="B20" s="4">
        <f>IF($E$4="Alle",COUNTIFS(Vertragseingänge!$A$4:$A$500,A20),COUNTIFS(Vertragseingänge!$A$4:$A$500,A20,Vertragseingänge!$C$4:$C$500,$E$4*1))</f>
        <v>5</v>
      </c>
      <c r="C20" s="5" t="str">
        <f>IFERROR(IF(Steuerung!$B$16="","",IF($E$4="Alle",IF(COUNTIFS(Vertragseingänge!$A$4:$A$500,A20,Vertragseingänge!$E$4:$E$500,Steuerung!$B$16)=0,"",COUNTIFS(Vertragseingänge!$A$4:$A$500,A20,Vertragseingänge!$E$4:$E$500,Steuerung!$B$16)),IF(COUNTIFS(Vertragseingänge!$A$4:$A$500,A20,Vertragseingänge!$E$4:$E$500,Steuerung!$B$16,Vertragseingänge!$C$4:$C$500,$E$4*1)=0,"",COUNTIFS(Vertragseingänge!$A$4:$A$500,A20,Vertragseingänge!$E$4:$E$500,Steuerung!$B$16,Vertragseingänge!$C$4:$C$500,$E$4*1)))),"")</f>
        <v/>
      </c>
      <c r="D20" s="5">
        <f>IFERROR(IF(Steuerung!$B$17="","",IF($E$4="Alle",IF(COUNTIFS(Vertragseingänge!$A$4:$A$500,A20,Vertragseingänge!$E$4:$E$500,Steuerung!$B$17)=0,"",COUNTIFS(Vertragseingänge!$A$4:$A$500,A20,Vertragseingänge!$E$4:$E$500,Steuerung!$B$17)),IF(COUNTIFS(Vertragseingänge!$A$4:$A$500,A20,Vertragseingänge!$E$4:$E$500,Steuerung!$B$17,Vertragseingänge!$C$4:$C$500,$E$4*1)=0,"",COUNTIFS(Vertragseingänge!$A$4:$A$500,A20,Vertragseingänge!$E$4:$E$500,Steuerung!$B$17,Vertragseingänge!$C$4:$C$500,$E$4*1)))),"")</f>
        <v>5</v>
      </c>
      <c r="E20" s="5" t="str">
        <f>IFERROR(IF(Steuerung!$B$18="","",IF($E$4="Alle",IF(COUNTIFS(Vertragseingänge!$A$4:$A$500,A20,Vertragseingänge!$E$4:$E$500,Steuerung!$B$18)=0,"",COUNTIFS(Vertragseingänge!$A$4:$A$500,A20,Vertragseingänge!$E$4:$E$500,Steuerung!$B$18)),IF(COUNTIFS(Vertragseingänge!$A$4:$A$500,A20,Vertragseingänge!$E$4:$E$500,Steuerung!$B$18,Vertragseingänge!$C$4:$C$500,$E$4*1)=0,"",COUNTIFS(Vertragseingänge!$A$4:$A$500,A20,Vertragseingänge!$E$4:$E$500,Steuerung!$B$18,Vertragseingänge!$C$4:$C$500,$E$4*1)))),"")</f>
        <v/>
      </c>
      <c r="F20" s="5" t="str">
        <f>IFERROR(IF(Steuerung!$B$19="","",IF($E$4="Alle",IF(COUNTIFS(Vertragseingänge!$A$4:$A$500,A20,Vertragseingänge!$E$4:$E$500,Steuerung!$B$19)=0,"",COUNTIFS(Vertragseingänge!$A$4:$A$500,A20,Vertragseingänge!$E$4:$E$500,Steuerung!$B$19)),IF(COUNTIFS(Vertragseingänge!$A$4:$A$500,A20,Vertragseingänge!$E$4:$E$500,Steuerung!$B$19,Vertragseingänge!$C$4:$C$500,$E$4*1)=0,"",COUNTIFS(Vertragseingänge!$A$4:$A$500,A20,Vertragseingänge!$E$4:$E$500,Steuerung!$B$19,Vertragseingänge!$C$4:$C$500,$E$4*1)))),"")</f>
        <v/>
      </c>
      <c r="G20" s="5" t="str">
        <f>IFERROR(IF(Steuerung!$B$20="","",IF($E$4="Alle",IF(COUNTIFS(Vertragseingänge!$A$4:$A$500,A20,Vertragseingänge!$E$4:$E$500,Steuerung!$B$20)=0,"",COUNTIFS(Vertragseingänge!$A$4:$A$500,A20,Vertragseingänge!$E$4:$E$500,Steuerung!$B$20)),IF(COUNTIFS(Vertragseingänge!$A$4:$A$500,A20,Vertragseingänge!$E$4:$E$500,Steuerung!$B$20,Vertragseingänge!$C$4:$C$500,$E$4*1)=0,"",COUNTIFS(Vertragseingänge!$A$4:$A$500,A20,Vertragseingänge!$E$4:$E$500,Steuerung!$B$20,Vertragseingänge!$C$4:$C$500,$E$4*1)))),"")</f>
        <v/>
      </c>
      <c r="H20" s="5" t="str">
        <f>IFERROR(IF(Steuerung!$B$21="","",IF($E$4="Alle",IF(COUNTIFS(Vertragseingänge!$A$4:$A$500,A20,Vertragseingänge!$E$4:$E$500,Steuerung!$B$21)=0,"",COUNTIFS(Vertragseingänge!$A$4:$A$500,A20,Vertragseingänge!$E$4:$E$500,Steuerung!$B$21)),IF(COUNTIFS(Vertragseingänge!$A$4:$A$500,A20,Vertragseingänge!$E$4:$E$500,Steuerung!$B$21,Vertragseingänge!$C$4:$C$500,$E$4*1)=0,"",COUNTIFS(Vertragseingänge!$A$4:$A$500,A20,Vertragseingänge!$E$4:$E$500,Steuerung!$B$21,Vertragseingänge!$C$4:$C$500,$E$4*1)))),"")</f>
        <v/>
      </c>
      <c r="I20" s="5" t="str">
        <f>IFERROR(IF(Steuerung!$B$22="","",IF($E$4="Alle",IF(COUNTIFS(Vertragseingänge!$A$4:$A$500,A20,Vertragseingänge!$E$4:$E$500,Steuerung!$B$22)=0,"",COUNTIFS(Vertragseingänge!$A$4:$A$500,A20,Vertragseingänge!$E$4:$E$500,Steuerung!$B$22)),IF(COUNTIFS(Vertragseingänge!$A$4:$A$500,A20,Vertragseingänge!$E$4:$E$500,Steuerung!$B$22,Vertragseingänge!$C$4:$C$500,$E$4*1)=0,"",COUNTIFS(Vertragseingänge!$A$4:$A$500,A20,Vertragseingänge!$E$4:$E$500,Steuerung!$B$22,Vertragseingänge!$C$4:$C$500,$E$4*1)))),"")</f>
        <v/>
      </c>
      <c r="J20" s="5" t="str">
        <f t="shared" si="0"/>
        <v/>
      </c>
      <c r="L20" s="20" t="str">
        <f>IF(Steuerung!B9="","",Steuerung!C9)</f>
        <v>David</v>
      </c>
      <c r="M20" s="21">
        <f ca="1">IF(Steuerung!$B$9="","",IF($E$4="Alle",SUMIFS('Leads Rohdaten'!$D$4:$D$503,'Leads Rohdaten'!$C$4:$C$503,Steuerung!$B$9,'Leads Rohdaten'!$H$4:$H$503,"Frisch"),SUMIFS('Leads Rohdaten'!$D$4:$D$503,'Leads Rohdaten'!$C$4:$C$503,Steuerung!$B$9,'Leads Rohdaten'!$H$4:$H$503,"Frisch",'Leads Rohdaten'!$A$4:$A$503,$E$4*1)))</f>
        <v>125</v>
      </c>
      <c r="N20" s="22">
        <f ca="1">IF(Steuerung!$B$9="","",IF($E$4="Alle",SUMIFS('Leads Rohdaten'!$E$4:$E$503,'Leads Rohdaten'!$C$4:$C$503,Steuerung!$B$9,'Leads Rohdaten'!$H$4:$H$503,"Frisch"),SUMIFS('Leads Rohdaten'!$E$4:$E$503,'Leads Rohdaten'!$C$4:$C$503,Steuerung!$B$9,'Leads Rohdaten'!$H$4:$H$503,"Frisch",'Leads Rohdaten'!$A$4:$A$503,$E$4*1)))</f>
        <v>35</v>
      </c>
      <c r="O20" s="23" t="str">
        <f>IF(Steuerung!$B$9="","","⏳ läuft")</f>
        <v>⏳ läuft</v>
      </c>
      <c r="P20" s="24"/>
    </row>
    <row r="21" spans="1:16" ht="15" customHeight="1" x14ac:dyDescent="0.25">
      <c r="A21" s="7" t="s">
        <v>33</v>
      </c>
      <c r="B21" s="8">
        <f>IF($E$4="Alle",COUNTIFS(Vertragseingänge!$A$4:$A$500,A21),COUNTIFS(Vertragseingänge!$A$4:$A$500,A21,Vertragseingänge!$C$4:$C$500,$E$4*1))</f>
        <v>7</v>
      </c>
      <c r="C21" s="9">
        <f>IFERROR(IF(Steuerung!$B$16="","",IF($E$4="Alle",IF(COUNTIFS(Vertragseingänge!$A$4:$A$500,A21,Vertragseingänge!$E$4:$E$500,Steuerung!$B$16)=0,"",COUNTIFS(Vertragseingänge!$A$4:$A$500,A21,Vertragseingänge!$E$4:$E$500,Steuerung!$B$16)),IF(COUNTIFS(Vertragseingänge!$A$4:$A$500,A21,Vertragseingänge!$E$4:$E$500,Steuerung!$B$16,Vertragseingänge!$C$4:$C$500,$E$4*1)=0,"",COUNTIFS(Vertragseingänge!$A$4:$A$500,A21,Vertragseingänge!$E$4:$E$500,Steuerung!$B$16,Vertragseingänge!$C$4:$C$500,$E$4*1)))),"")</f>
        <v>1</v>
      </c>
      <c r="D21" s="9">
        <f>IFERROR(IF(Steuerung!$B$17="","",IF($E$4="Alle",IF(COUNTIFS(Vertragseingänge!$A$4:$A$500,A21,Vertragseingänge!$E$4:$E$500,Steuerung!$B$17)=0,"",COUNTIFS(Vertragseingänge!$A$4:$A$500,A21,Vertragseingänge!$E$4:$E$500,Steuerung!$B$17)),IF(COUNTIFS(Vertragseingänge!$A$4:$A$500,A21,Vertragseingänge!$E$4:$E$500,Steuerung!$B$17,Vertragseingänge!$C$4:$C$500,$E$4*1)=0,"",COUNTIFS(Vertragseingänge!$A$4:$A$500,A21,Vertragseingänge!$E$4:$E$500,Steuerung!$B$17,Vertragseingänge!$C$4:$C$500,$E$4*1)))),"")</f>
        <v>3</v>
      </c>
      <c r="E21" s="9" t="str">
        <f>IFERROR(IF(Steuerung!$B$18="","",IF($E$4="Alle",IF(COUNTIFS(Vertragseingänge!$A$4:$A$500,A21,Vertragseingänge!$E$4:$E$500,Steuerung!$B$18)=0,"",COUNTIFS(Vertragseingänge!$A$4:$A$500,A21,Vertragseingänge!$E$4:$E$500,Steuerung!$B$18)),IF(COUNTIFS(Vertragseingänge!$A$4:$A$500,A21,Vertragseingänge!$E$4:$E$500,Steuerung!$B$18,Vertragseingänge!$C$4:$C$500,$E$4*1)=0,"",COUNTIFS(Vertragseingänge!$A$4:$A$500,A21,Vertragseingänge!$E$4:$E$500,Steuerung!$B$18,Vertragseingänge!$C$4:$C$500,$E$4*1)))),"")</f>
        <v/>
      </c>
      <c r="F21" s="9" t="str">
        <f>IFERROR(IF(Steuerung!$B$19="","",IF($E$4="Alle",IF(COUNTIFS(Vertragseingänge!$A$4:$A$500,A21,Vertragseingänge!$E$4:$E$500,Steuerung!$B$19)=0,"",COUNTIFS(Vertragseingänge!$A$4:$A$500,A21,Vertragseingänge!$E$4:$E$500,Steuerung!$B$19)),IF(COUNTIFS(Vertragseingänge!$A$4:$A$500,A21,Vertragseingänge!$E$4:$E$500,Steuerung!$B$19,Vertragseingänge!$C$4:$C$500,$E$4*1)=0,"",COUNTIFS(Vertragseingänge!$A$4:$A$500,A21,Vertragseingänge!$E$4:$E$500,Steuerung!$B$19,Vertragseingänge!$C$4:$C$500,$E$4*1)))),"")</f>
        <v/>
      </c>
      <c r="G21" s="9" t="str">
        <f>IFERROR(IF(Steuerung!$B$20="","",IF($E$4="Alle",IF(COUNTIFS(Vertragseingänge!$A$4:$A$500,A21,Vertragseingänge!$E$4:$E$500,Steuerung!$B$20)=0,"",COUNTIFS(Vertragseingänge!$A$4:$A$500,A21,Vertragseingänge!$E$4:$E$500,Steuerung!$B$20)),IF(COUNTIFS(Vertragseingänge!$A$4:$A$500,A21,Vertragseingänge!$E$4:$E$500,Steuerung!$B$20,Vertragseingänge!$C$4:$C$500,$E$4*1)=0,"",COUNTIFS(Vertragseingänge!$A$4:$A$500,A21,Vertragseingänge!$E$4:$E$500,Steuerung!$B$20,Vertragseingänge!$C$4:$C$500,$E$4*1)))),"")</f>
        <v/>
      </c>
      <c r="H21" s="9" t="str">
        <f>IFERROR(IF(Steuerung!$B$21="","",IF($E$4="Alle",IF(COUNTIFS(Vertragseingänge!$A$4:$A$500,A21,Vertragseingänge!$E$4:$E$500,Steuerung!$B$21)=0,"",COUNTIFS(Vertragseingänge!$A$4:$A$500,A21,Vertragseingänge!$E$4:$E$500,Steuerung!$B$21)),IF(COUNTIFS(Vertragseingänge!$A$4:$A$500,A21,Vertragseingänge!$E$4:$E$500,Steuerung!$B$21,Vertragseingänge!$C$4:$C$500,$E$4*1)=0,"",COUNTIFS(Vertragseingänge!$A$4:$A$500,A21,Vertragseingänge!$E$4:$E$500,Steuerung!$B$21,Vertragseingänge!$C$4:$C$500,$E$4*1)))),"")</f>
        <v/>
      </c>
      <c r="I21" s="9">
        <f>IFERROR(IF(Steuerung!$B$22="","",IF($E$4="Alle",IF(COUNTIFS(Vertragseingänge!$A$4:$A$500,A21,Vertragseingänge!$E$4:$E$500,Steuerung!$B$22)=0,"",COUNTIFS(Vertragseingänge!$A$4:$A$500,A21,Vertragseingänge!$E$4:$E$500,Steuerung!$B$22)),IF(COUNTIFS(Vertragseingänge!$A$4:$A$500,A21,Vertragseingänge!$E$4:$E$500,Steuerung!$B$22,Vertragseingänge!$C$4:$C$500,$E$4*1)=0,"",COUNTIFS(Vertragseingänge!$A$4:$A$500,A21,Vertragseingänge!$E$4:$E$500,Steuerung!$B$22,Vertragseingänge!$C$4:$C$500,$E$4*1)))),"")</f>
        <v>1</v>
      </c>
      <c r="J21" s="9">
        <f t="shared" si="0"/>
        <v>2</v>
      </c>
      <c r="L21" s="20" t="str">
        <f>IF(Steuerung!B10="","",Steuerung!C10)</f>
        <v/>
      </c>
      <c r="M21" s="21" t="str">
        <f>IF(Steuerung!$B$10="","",IF($E$4="Alle",SUMIFS('Leads Rohdaten'!$D$4:$D$503,'Leads Rohdaten'!$C$4:$C$503,Steuerung!$B$10,'Leads Rohdaten'!$H$4:$H$503,"Frisch"),SUMIFS('Leads Rohdaten'!$D$4:$D$503,'Leads Rohdaten'!$C$4:$C$503,Steuerung!$B$10,'Leads Rohdaten'!$H$4:$H$503,"Frisch",'Leads Rohdaten'!$A$4:$A$503,$E$4*1)))</f>
        <v/>
      </c>
      <c r="N21" s="22" t="str">
        <f>IF(Steuerung!$B$10="","",IF($E$4="Alle",SUMIFS('Leads Rohdaten'!$E$4:$E$503,'Leads Rohdaten'!$C$4:$C$503,Steuerung!$B$10,'Leads Rohdaten'!$H$4:$H$503,"Frisch"),SUMIFS('Leads Rohdaten'!$E$4:$E$503,'Leads Rohdaten'!$C$4:$C$503,Steuerung!$B$10,'Leads Rohdaten'!$H$4:$H$503,"Frisch",'Leads Rohdaten'!$A$4:$A$503,$E$4*1)))</f>
        <v/>
      </c>
      <c r="O21" s="23" t="str">
        <f>IF(Steuerung!$B$10="","","⏳ läuft")</f>
        <v/>
      </c>
      <c r="P21" s="24"/>
    </row>
    <row r="22" spans="1:16" ht="15" customHeight="1" x14ac:dyDescent="0.25">
      <c r="A22" s="3" t="s">
        <v>34</v>
      </c>
      <c r="B22" s="4">
        <f>IF($E$4="Alle",COUNTIFS(Vertragseingänge!$A$4:$A$500,A22),COUNTIFS(Vertragseingänge!$A$4:$A$500,A22,Vertragseingänge!$C$4:$C$500,$E$4*1))</f>
        <v>7</v>
      </c>
      <c r="C22" s="5">
        <f>IFERROR(IF(Steuerung!$B$16="","",IF($E$4="Alle",IF(COUNTIFS(Vertragseingänge!$A$4:$A$500,A22,Vertragseingänge!$E$4:$E$500,Steuerung!$B$16)=0,"",COUNTIFS(Vertragseingänge!$A$4:$A$500,A22,Vertragseingänge!$E$4:$E$500,Steuerung!$B$16)),IF(COUNTIFS(Vertragseingänge!$A$4:$A$500,A22,Vertragseingänge!$E$4:$E$500,Steuerung!$B$16,Vertragseingänge!$C$4:$C$500,$E$4*1)=0,"",COUNTIFS(Vertragseingänge!$A$4:$A$500,A22,Vertragseingänge!$E$4:$E$500,Steuerung!$B$16,Vertragseingänge!$C$4:$C$500,$E$4*1)))),"")</f>
        <v>3</v>
      </c>
      <c r="D22" s="5">
        <f>IFERROR(IF(Steuerung!$B$17="","",IF($E$4="Alle",IF(COUNTIFS(Vertragseingänge!$A$4:$A$500,A22,Vertragseingänge!$E$4:$E$500,Steuerung!$B$17)=0,"",COUNTIFS(Vertragseingänge!$A$4:$A$500,A22,Vertragseingänge!$E$4:$E$500,Steuerung!$B$17)),IF(COUNTIFS(Vertragseingänge!$A$4:$A$500,A22,Vertragseingänge!$E$4:$E$500,Steuerung!$B$17,Vertragseingänge!$C$4:$C$500,$E$4*1)=0,"",COUNTIFS(Vertragseingänge!$A$4:$A$500,A22,Vertragseingänge!$E$4:$E$500,Steuerung!$B$17,Vertragseingänge!$C$4:$C$500,$E$4*1)))),"")</f>
        <v>3</v>
      </c>
      <c r="E22" s="5" t="str">
        <f>IFERROR(IF(Steuerung!$B$18="","",IF($E$4="Alle",IF(COUNTIFS(Vertragseingänge!$A$4:$A$500,A22,Vertragseingänge!$E$4:$E$500,Steuerung!$B$18)=0,"",COUNTIFS(Vertragseingänge!$A$4:$A$500,A22,Vertragseingänge!$E$4:$E$500,Steuerung!$B$18)),IF(COUNTIFS(Vertragseingänge!$A$4:$A$500,A22,Vertragseingänge!$E$4:$E$500,Steuerung!$B$18,Vertragseingänge!$C$4:$C$500,$E$4*1)=0,"",COUNTIFS(Vertragseingänge!$A$4:$A$500,A22,Vertragseingänge!$E$4:$E$500,Steuerung!$B$18,Vertragseingänge!$C$4:$C$500,$E$4*1)))),"")</f>
        <v/>
      </c>
      <c r="F22" s="5" t="str">
        <f>IFERROR(IF(Steuerung!$B$19="","",IF($E$4="Alle",IF(COUNTIFS(Vertragseingänge!$A$4:$A$500,A22,Vertragseingänge!$E$4:$E$500,Steuerung!$B$19)=0,"",COUNTIFS(Vertragseingänge!$A$4:$A$500,A22,Vertragseingänge!$E$4:$E$500,Steuerung!$B$19)),IF(COUNTIFS(Vertragseingänge!$A$4:$A$500,A22,Vertragseingänge!$E$4:$E$500,Steuerung!$B$19,Vertragseingänge!$C$4:$C$500,$E$4*1)=0,"",COUNTIFS(Vertragseingänge!$A$4:$A$500,A22,Vertragseingänge!$E$4:$E$500,Steuerung!$B$19,Vertragseingänge!$C$4:$C$500,$E$4*1)))),"")</f>
        <v/>
      </c>
      <c r="G22" s="5" t="str">
        <f>IFERROR(IF(Steuerung!$B$20="","",IF($E$4="Alle",IF(COUNTIFS(Vertragseingänge!$A$4:$A$500,A22,Vertragseingänge!$E$4:$E$500,Steuerung!$B$20)=0,"",COUNTIFS(Vertragseingänge!$A$4:$A$500,A22,Vertragseingänge!$E$4:$E$500,Steuerung!$B$20)),IF(COUNTIFS(Vertragseingänge!$A$4:$A$500,A22,Vertragseingänge!$E$4:$E$500,Steuerung!$B$20,Vertragseingänge!$C$4:$C$500,$E$4*1)=0,"",COUNTIFS(Vertragseingänge!$A$4:$A$500,A22,Vertragseingänge!$E$4:$E$500,Steuerung!$B$20,Vertragseingänge!$C$4:$C$500,$E$4*1)))),"")</f>
        <v/>
      </c>
      <c r="H22" s="5" t="str">
        <f>IFERROR(IF(Steuerung!$B$21="","",IF($E$4="Alle",IF(COUNTIFS(Vertragseingänge!$A$4:$A$500,A22,Vertragseingänge!$E$4:$E$500,Steuerung!$B$21)=0,"",COUNTIFS(Vertragseingänge!$A$4:$A$500,A22,Vertragseingänge!$E$4:$E$500,Steuerung!$B$21)),IF(COUNTIFS(Vertragseingänge!$A$4:$A$500,A22,Vertragseingänge!$E$4:$E$500,Steuerung!$B$21,Vertragseingänge!$C$4:$C$500,$E$4*1)=0,"",COUNTIFS(Vertragseingänge!$A$4:$A$500,A22,Vertragseingänge!$E$4:$E$500,Steuerung!$B$21,Vertragseingänge!$C$4:$C$500,$E$4*1)))),"")</f>
        <v/>
      </c>
      <c r="I22" s="5" t="str">
        <f>IFERROR(IF(Steuerung!$B$22="","",IF($E$4="Alle",IF(COUNTIFS(Vertragseingänge!$A$4:$A$500,A22,Vertragseingänge!$E$4:$E$500,Steuerung!$B$22)=0,"",COUNTIFS(Vertragseingänge!$A$4:$A$500,A22,Vertragseingänge!$E$4:$E$500,Steuerung!$B$22)),IF(COUNTIFS(Vertragseingänge!$A$4:$A$500,A22,Vertragseingänge!$E$4:$E$500,Steuerung!$B$22,Vertragseingänge!$C$4:$C$500,$E$4*1)=0,"",COUNTIFS(Vertragseingänge!$A$4:$A$500,A22,Vertragseingänge!$E$4:$E$500,Steuerung!$B$22,Vertragseingänge!$C$4:$C$500,$E$4*1)))),"")</f>
        <v/>
      </c>
      <c r="J22" s="5">
        <f t="shared" si="0"/>
        <v>1</v>
      </c>
      <c r="L22" s="20" t="str">
        <f>IF(Steuerung!B11="","",Steuerung!C11)</f>
        <v/>
      </c>
      <c r="M22" s="21" t="str">
        <f>IF(Steuerung!$B$11="","",IF($E$4="Alle",SUMIFS('Leads Rohdaten'!$D$4:$D$503,'Leads Rohdaten'!$C$4:$C$503,Steuerung!$B$11,'Leads Rohdaten'!$H$4:$H$503,"Frisch"),SUMIFS('Leads Rohdaten'!$D$4:$D$503,'Leads Rohdaten'!$C$4:$C$503,Steuerung!$B$11,'Leads Rohdaten'!$H$4:$H$503,"Frisch",'Leads Rohdaten'!$A$4:$A$503,$E$4*1)))</f>
        <v/>
      </c>
      <c r="N22" s="22" t="str">
        <f>IF(Steuerung!$B$11="","",IF($E$4="Alle",SUMIFS('Leads Rohdaten'!$E$4:$E$503,'Leads Rohdaten'!$C$4:$C$503,Steuerung!$B$11,'Leads Rohdaten'!$H$4:$H$503,"Frisch"),SUMIFS('Leads Rohdaten'!$E$4:$E$503,'Leads Rohdaten'!$C$4:$C$503,Steuerung!$B$11,'Leads Rohdaten'!$H$4:$H$503,"Frisch",'Leads Rohdaten'!$A$4:$A$503,$E$4*1)))</f>
        <v/>
      </c>
      <c r="O22" s="23" t="str">
        <f>IF(Steuerung!$B$11="","","⏳ läuft")</f>
        <v/>
      </c>
      <c r="P22" s="24"/>
    </row>
    <row r="23" spans="1:16" ht="15" customHeight="1" x14ac:dyDescent="0.25">
      <c r="A23" s="7" t="s">
        <v>35</v>
      </c>
      <c r="B23" s="8">
        <f>IF($E$4="Alle",COUNTIFS(Vertragseingänge!$A$4:$A$500,A23),COUNTIFS(Vertragseingänge!$A$4:$A$500,A23,Vertragseingänge!$C$4:$C$500,$E$4*1))</f>
        <v>8</v>
      </c>
      <c r="C23" s="9">
        <f>IFERROR(IF(Steuerung!$B$16="","",IF($E$4="Alle",IF(COUNTIFS(Vertragseingänge!$A$4:$A$500,A23,Vertragseingänge!$E$4:$E$500,Steuerung!$B$16)=0,"",COUNTIFS(Vertragseingänge!$A$4:$A$500,A23,Vertragseingänge!$E$4:$E$500,Steuerung!$B$16)),IF(COUNTIFS(Vertragseingänge!$A$4:$A$500,A23,Vertragseingänge!$E$4:$E$500,Steuerung!$B$16,Vertragseingänge!$C$4:$C$500,$E$4*1)=0,"",COUNTIFS(Vertragseingänge!$A$4:$A$500,A23,Vertragseingänge!$E$4:$E$500,Steuerung!$B$16,Vertragseingänge!$C$4:$C$500,$E$4*1)))),"")</f>
        <v>2</v>
      </c>
      <c r="D23" s="9">
        <f>IFERROR(IF(Steuerung!$B$17="","",IF($E$4="Alle",IF(COUNTIFS(Vertragseingänge!$A$4:$A$500,A23,Vertragseingänge!$E$4:$E$500,Steuerung!$B$17)=0,"",COUNTIFS(Vertragseingänge!$A$4:$A$500,A23,Vertragseingänge!$E$4:$E$500,Steuerung!$B$17)),IF(COUNTIFS(Vertragseingänge!$A$4:$A$500,A23,Vertragseingänge!$E$4:$E$500,Steuerung!$B$17,Vertragseingänge!$C$4:$C$500,$E$4*1)=0,"",COUNTIFS(Vertragseingänge!$A$4:$A$500,A23,Vertragseingänge!$E$4:$E$500,Steuerung!$B$17,Vertragseingänge!$C$4:$C$500,$E$4*1)))),"")</f>
        <v>1</v>
      </c>
      <c r="E23" s="9">
        <f>IFERROR(IF(Steuerung!$B$18="","",IF($E$4="Alle",IF(COUNTIFS(Vertragseingänge!$A$4:$A$500,A23,Vertragseingänge!$E$4:$E$500,Steuerung!$B$18)=0,"",COUNTIFS(Vertragseingänge!$A$4:$A$500,A23,Vertragseingänge!$E$4:$E$500,Steuerung!$B$18)),IF(COUNTIFS(Vertragseingänge!$A$4:$A$500,A23,Vertragseingänge!$E$4:$E$500,Steuerung!$B$18,Vertragseingänge!$C$4:$C$500,$E$4*1)=0,"",COUNTIFS(Vertragseingänge!$A$4:$A$500,A23,Vertragseingänge!$E$4:$E$500,Steuerung!$B$18,Vertragseingänge!$C$4:$C$500,$E$4*1)))),"")</f>
        <v>4</v>
      </c>
      <c r="F23" s="9" t="str">
        <f>IFERROR(IF(Steuerung!$B$19="","",IF($E$4="Alle",IF(COUNTIFS(Vertragseingänge!$A$4:$A$500,A23,Vertragseingänge!$E$4:$E$500,Steuerung!$B$19)=0,"",COUNTIFS(Vertragseingänge!$A$4:$A$500,A23,Vertragseingänge!$E$4:$E$500,Steuerung!$B$19)),IF(COUNTIFS(Vertragseingänge!$A$4:$A$500,A23,Vertragseingänge!$E$4:$E$500,Steuerung!$B$19,Vertragseingänge!$C$4:$C$500,$E$4*1)=0,"",COUNTIFS(Vertragseingänge!$A$4:$A$500,A23,Vertragseingänge!$E$4:$E$500,Steuerung!$B$19,Vertragseingänge!$C$4:$C$500,$E$4*1)))),"")</f>
        <v/>
      </c>
      <c r="G23" s="9" t="str">
        <f>IFERROR(IF(Steuerung!$B$20="","",IF($E$4="Alle",IF(COUNTIFS(Vertragseingänge!$A$4:$A$500,A23,Vertragseingänge!$E$4:$E$500,Steuerung!$B$20)=0,"",COUNTIFS(Vertragseingänge!$A$4:$A$500,A23,Vertragseingänge!$E$4:$E$500,Steuerung!$B$20)),IF(COUNTIFS(Vertragseingänge!$A$4:$A$500,A23,Vertragseingänge!$E$4:$E$500,Steuerung!$B$20,Vertragseingänge!$C$4:$C$500,$E$4*1)=0,"",COUNTIFS(Vertragseingänge!$A$4:$A$500,A23,Vertragseingänge!$E$4:$E$500,Steuerung!$B$20,Vertragseingänge!$C$4:$C$500,$E$4*1)))),"")</f>
        <v/>
      </c>
      <c r="H23" s="9" t="str">
        <f>IFERROR(IF(Steuerung!$B$21="","",IF($E$4="Alle",IF(COUNTIFS(Vertragseingänge!$A$4:$A$500,A23,Vertragseingänge!$E$4:$E$500,Steuerung!$B$21)=0,"",COUNTIFS(Vertragseingänge!$A$4:$A$500,A23,Vertragseingänge!$E$4:$E$500,Steuerung!$B$21)),IF(COUNTIFS(Vertragseingänge!$A$4:$A$500,A23,Vertragseingänge!$E$4:$E$500,Steuerung!$B$21,Vertragseingänge!$C$4:$C$500,$E$4*1)=0,"",COUNTIFS(Vertragseingänge!$A$4:$A$500,A23,Vertragseingänge!$E$4:$E$500,Steuerung!$B$21,Vertragseingänge!$C$4:$C$500,$E$4*1)))),"")</f>
        <v/>
      </c>
      <c r="I23" s="9" t="str">
        <f>IFERROR(IF(Steuerung!$B$22="","",IF($E$4="Alle",IF(COUNTIFS(Vertragseingänge!$A$4:$A$500,A23,Vertragseingänge!$E$4:$E$500,Steuerung!$B$22)=0,"",COUNTIFS(Vertragseingänge!$A$4:$A$500,A23,Vertragseingänge!$E$4:$E$500,Steuerung!$B$22)),IF(COUNTIFS(Vertragseingänge!$A$4:$A$500,A23,Vertragseingänge!$E$4:$E$500,Steuerung!$B$22,Vertragseingänge!$C$4:$C$500,$E$4*1)=0,"",COUNTIFS(Vertragseingänge!$A$4:$A$500,A23,Vertragseingänge!$E$4:$E$500,Steuerung!$B$22,Vertragseingänge!$C$4:$C$500,$E$4*1)))),"")</f>
        <v/>
      </c>
      <c r="J23" s="9">
        <f t="shared" si="0"/>
        <v>1</v>
      </c>
      <c r="L23" s="6" t="s">
        <v>23</v>
      </c>
      <c r="M23" s="18">
        <f ca="1">SUM(M17:M22)</f>
        <v>336</v>
      </c>
      <c r="N23" s="18">
        <f ca="1">SUM(N17:N22)</f>
        <v>66</v>
      </c>
      <c r="O23" s="6" t="s">
        <v>36</v>
      </c>
      <c r="P23" s="6"/>
    </row>
    <row r="24" spans="1:16" ht="15" customHeight="1" x14ac:dyDescent="0.25">
      <c r="A24" s="3" t="s">
        <v>37</v>
      </c>
      <c r="B24" s="4">
        <f>IF($E$4="Alle",COUNTIFS(Vertragseingänge!$A$4:$A$500,A24),COUNTIFS(Vertragseingänge!$A$4:$A$500,A24,Vertragseingänge!$C$4:$C$500,$E$4*1))</f>
        <v>4</v>
      </c>
      <c r="C24" s="5">
        <f>IFERROR(IF(Steuerung!$B$16="","",IF($E$4="Alle",IF(COUNTIFS(Vertragseingänge!$A$4:$A$500,A24,Vertragseingänge!$E$4:$E$500,Steuerung!$B$16)=0,"",COUNTIFS(Vertragseingänge!$A$4:$A$500,A24,Vertragseingänge!$E$4:$E$500,Steuerung!$B$16)),IF(COUNTIFS(Vertragseingänge!$A$4:$A$500,A24,Vertragseingänge!$E$4:$E$500,Steuerung!$B$16,Vertragseingänge!$C$4:$C$500,$E$4*1)=0,"",COUNTIFS(Vertragseingänge!$A$4:$A$500,A24,Vertragseingänge!$E$4:$E$500,Steuerung!$B$16,Vertragseingänge!$C$4:$C$500,$E$4*1)))),"")</f>
        <v>3</v>
      </c>
      <c r="D24" s="5" t="str">
        <f>IFERROR(IF(Steuerung!$B$17="","",IF($E$4="Alle",IF(COUNTIFS(Vertragseingänge!$A$4:$A$500,A24,Vertragseingänge!$E$4:$E$500,Steuerung!$B$17)=0,"",COUNTIFS(Vertragseingänge!$A$4:$A$500,A24,Vertragseingänge!$E$4:$E$500,Steuerung!$B$17)),IF(COUNTIFS(Vertragseingänge!$A$4:$A$500,A24,Vertragseingänge!$E$4:$E$500,Steuerung!$B$17,Vertragseingänge!$C$4:$C$500,$E$4*1)=0,"",COUNTIFS(Vertragseingänge!$A$4:$A$500,A24,Vertragseingänge!$E$4:$E$500,Steuerung!$B$17,Vertragseingänge!$C$4:$C$500,$E$4*1)))),"")</f>
        <v/>
      </c>
      <c r="E24" s="5" t="str">
        <f>IFERROR(IF(Steuerung!$B$18="","",IF($E$4="Alle",IF(COUNTIFS(Vertragseingänge!$A$4:$A$500,A24,Vertragseingänge!$E$4:$E$500,Steuerung!$B$18)=0,"",COUNTIFS(Vertragseingänge!$A$4:$A$500,A24,Vertragseingänge!$E$4:$E$500,Steuerung!$B$18)),IF(COUNTIFS(Vertragseingänge!$A$4:$A$500,A24,Vertragseingänge!$E$4:$E$500,Steuerung!$B$18,Vertragseingänge!$C$4:$C$500,$E$4*1)=0,"",COUNTIFS(Vertragseingänge!$A$4:$A$500,A24,Vertragseingänge!$E$4:$E$500,Steuerung!$B$18,Vertragseingänge!$C$4:$C$500,$E$4*1)))),"")</f>
        <v/>
      </c>
      <c r="F24" s="5" t="str">
        <f>IFERROR(IF(Steuerung!$B$19="","",IF($E$4="Alle",IF(COUNTIFS(Vertragseingänge!$A$4:$A$500,A24,Vertragseingänge!$E$4:$E$500,Steuerung!$B$19)=0,"",COUNTIFS(Vertragseingänge!$A$4:$A$500,A24,Vertragseingänge!$E$4:$E$500,Steuerung!$B$19)),IF(COUNTIFS(Vertragseingänge!$A$4:$A$500,A24,Vertragseingänge!$E$4:$E$500,Steuerung!$B$19,Vertragseingänge!$C$4:$C$500,$E$4*1)=0,"",COUNTIFS(Vertragseingänge!$A$4:$A$500,A24,Vertragseingänge!$E$4:$E$500,Steuerung!$B$19,Vertragseingänge!$C$4:$C$500,$E$4*1)))),"")</f>
        <v/>
      </c>
      <c r="G24" s="5" t="str">
        <f>IFERROR(IF(Steuerung!$B$20="","",IF($E$4="Alle",IF(COUNTIFS(Vertragseingänge!$A$4:$A$500,A24,Vertragseingänge!$E$4:$E$500,Steuerung!$B$20)=0,"",COUNTIFS(Vertragseingänge!$A$4:$A$500,A24,Vertragseingänge!$E$4:$E$500,Steuerung!$B$20)),IF(COUNTIFS(Vertragseingänge!$A$4:$A$500,A24,Vertragseingänge!$E$4:$E$500,Steuerung!$B$20,Vertragseingänge!$C$4:$C$500,$E$4*1)=0,"",COUNTIFS(Vertragseingänge!$A$4:$A$500,A24,Vertragseingänge!$E$4:$E$500,Steuerung!$B$20,Vertragseingänge!$C$4:$C$500,$E$4*1)))),"")</f>
        <v/>
      </c>
      <c r="H24" s="5" t="str">
        <f>IFERROR(IF(Steuerung!$B$21="","",IF($E$4="Alle",IF(COUNTIFS(Vertragseingänge!$A$4:$A$500,A24,Vertragseingänge!$E$4:$E$500,Steuerung!$B$21)=0,"",COUNTIFS(Vertragseingänge!$A$4:$A$500,A24,Vertragseingänge!$E$4:$E$500,Steuerung!$B$21)),IF(COUNTIFS(Vertragseingänge!$A$4:$A$500,A24,Vertragseingänge!$E$4:$E$500,Steuerung!$B$21,Vertragseingänge!$C$4:$C$500,$E$4*1)=0,"",COUNTIFS(Vertragseingänge!$A$4:$A$500,A24,Vertragseingänge!$E$4:$E$500,Steuerung!$B$21,Vertragseingänge!$C$4:$C$500,$E$4*1)))),"")</f>
        <v/>
      </c>
      <c r="I24" s="5" t="str">
        <f>IFERROR(IF(Steuerung!$B$22="","",IF($E$4="Alle",IF(COUNTIFS(Vertragseingänge!$A$4:$A$500,A24,Vertragseingänge!$E$4:$E$500,Steuerung!$B$22)=0,"",COUNTIFS(Vertragseingänge!$A$4:$A$500,A24,Vertragseingänge!$E$4:$E$500,Steuerung!$B$22)),IF(COUNTIFS(Vertragseingänge!$A$4:$A$500,A24,Vertragseingänge!$E$4:$E$500,Steuerung!$B$22,Vertragseingänge!$C$4:$C$500,$E$4*1)=0,"",COUNTIFS(Vertragseingänge!$A$4:$A$500,A24,Vertragseingänge!$E$4:$E$500,Steuerung!$B$22,Vertragseingänge!$C$4:$C$500,$E$4*1)))),"")</f>
        <v/>
      </c>
      <c r="J24" s="5">
        <f t="shared" si="0"/>
        <v>1</v>
      </c>
    </row>
    <row r="25" spans="1:16" ht="21.75" customHeight="1" x14ac:dyDescent="0.25">
      <c r="A25" s="7" t="s">
        <v>38</v>
      </c>
      <c r="B25" s="8">
        <f>IF($E$4="Alle",COUNTIFS(Vertragseingänge!$A$4:$A$500,A25),COUNTIFS(Vertragseingänge!$A$4:$A$500,A25,Vertragseingänge!$C$4:$C$500,$E$4*1))</f>
        <v>1</v>
      </c>
      <c r="C25" s="9" t="str">
        <f>IFERROR(IF(Steuerung!$B$16="","",IF($E$4="Alle",IF(COUNTIFS(Vertragseingänge!$A$4:$A$500,A25,Vertragseingänge!$E$4:$E$500,Steuerung!$B$16)=0,"",COUNTIFS(Vertragseingänge!$A$4:$A$500,A25,Vertragseingänge!$E$4:$E$500,Steuerung!$B$16)),IF(COUNTIFS(Vertragseingänge!$A$4:$A$500,A25,Vertragseingänge!$E$4:$E$500,Steuerung!$B$16,Vertragseingänge!$C$4:$C$500,$E$4*1)=0,"",COUNTIFS(Vertragseingänge!$A$4:$A$500,A25,Vertragseingänge!$E$4:$E$500,Steuerung!$B$16,Vertragseingänge!$C$4:$C$500,$E$4*1)))),"")</f>
        <v/>
      </c>
      <c r="D25" s="9" t="str">
        <f>IFERROR(IF(Steuerung!$B$17="","",IF($E$4="Alle",IF(COUNTIFS(Vertragseingänge!$A$4:$A$500,A25,Vertragseingänge!$E$4:$E$500,Steuerung!$B$17)=0,"",COUNTIFS(Vertragseingänge!$A$4:$A$500,A25,Vertragseingänge!$E$4:$E$500,Steuerung!$B$17)),IF(COUNTIFS(Vertragseingänge!$A$4:$A$500,A25,Vertragseingänge!$E$4:$E$500,Steuerung!$B$17,Vertragseingänge!$C$4:$C$500,$E$4*1)=0,"",COUNTIFS(Vertragseingänge!$A$4:$A$500,A25,Vertragseingänge!$E$4:$E$500,Steuerung!$B$17,Vertragseingänge!$C$4:$C$500,$E$4*1)))),"")</f>
        <v/>
      </c>
      <c r="E25" s="9" t="str">
        <f>IFERROR(IF(Steuerung!$B$18="","",IF($E$4="Alle",IF(COUNTIFS(Vertragseingänge!$A$4:$A$500,A25,Vertragseingänge!$E$4:$E$500,Steuerung!$B$18)=0,"",COUNTIFS(Vertragseingänge!$A$4:$A$500,A25,Vertragseingänge!$E$4:$E$500,Steuerung!$B$18)),IF(COUNTIFS(Vertragseingänge!$A$4:$A$500,A25,Vertragseingänge!$E$4:$E$500,Steuerung!$B$18,Vertragseingänge!$C$4:$C$500,$E$4*1)=0,"",COUNTIFS(Vertragseingänge!$A$4:$A$500,A25,Vertragseingänge!$E$4:$E$500,Steuerung!$B$18,Vertragseingänge!$C$4:$C$500,$E$4*1)))),"")</f>
        <v/>
      </c>
      <c r="F25" s="9" t="str">
        <f>IFERROR(IF(Steuerung!$B$19="","",IF($E$4="Alle",IF(COUNTIFS(Vertragseingänge!$A$4:$A$500,A25,Vertragseingänge!$E$4:$E$500,Steuerung!$B$19)=0,"",COUNTIFS(Vertragseingänge!$A$4:$A$500,A25,Vertragseingänge!$E$4:$E$500,Steuerung!$B$19)),IF(COUNTIFS(Vertragseingänge!$A$4:$A$500,A25,Vertragseingänge!$E$4:$E$500,Steuerung!$B$19,Vertragseingänge!$C$4:$C$500,$E$4*1)=0,"",COUNTIFS(Vertragseingänge!$A$4:$A$500,A25,Vertragseingänge!$E$4:$E$500,Steuerung!$B$19,Vertragseingänge!$C$4:$C$500,$E$4*1)))),"")</f>
        <v/>
      </c>
      <c r="G25" s="9" t="str">
        <f>IFERROR(IF(Steuerung!$B$20="","",IF($E$4="Alle",IF(COUNTIFS(Vertragseingänge!$A$4:$A$500,A25,Vertragseingänge!$E$4:$E$500,Steuerung!$B$20)=0,"",COUNTIFS(Vertragseingänge!$A$4:$A$500,A25,Vertragseingänge!$E$4:$E$500,Steuerung!$B$20)),IF(COUNTIFS(Vertragseingänge!$A$4:$A$500,A25,Vertragseingänge!$E$4:$E$500,Steuerung!$B$20,Vertragseingänge!$C$4:$C$500,$E$4*1)=0,"",COUNTIFS(Vertragseingänge!$A$4:$A$500,A25,Vertragseingänge!$E$4:$E$500,Steuerung!$B$20,Vertragseingänge!$C$4:$C$500,$E$4*1)))),"")</f>
        <v/>
      </c>
      <c r="H25" s="9" t="str">
        <f>IFERROR(IF(Steuerung!$B$21="","",IF($E$4="Alle",IF(COUNTIFS(Vertragseingänge!$A$4:$A$500,A25,Vertragseingänge!$E$4:$E$500,Steuerung!$B$21)=0,"",COUNTIFS(Vertragseingänge!$A$4:$A$500,A25,Vertragseingänge!$E$4:$E$500,Steuerung!$B$21)),IF(COUNTIFS(Vertragseingänge!$A$4:$A$500,A25,Vertragseingänge!$E$4:$E$500,Steuerung!$B$21,Vertragseingänge!$C$4:$C$500,$E$4*1)=0,"",COUNTIFS(Vertragseingänge!$A$4:$A$500,A25,Vertragseingänge!$E$4:$E$500,Steuerung!$B$21,Vertragseingänge!$C$4:$C$500,$E$4*1)))),"")</f>
        <v/>
      </c>
      <c r="I25" s="9" t="str">
        <f>IFERROR(IF(Steuerung!$B$22="","",IF($E$4="Alle",IF(COUNTIFS(Vertragseingänge!$A$4:$A$500,A25,Vertragseingänge!$E$4:$E$500,Steuerung!$B$22)=0,"",COUNTIFS(Vertragseingänge!$A$4:$A$500,A25,Vertragseingänge!$E$4:$E$500,Steuerung!$B$22)),IF(COUNTIFS(Vertragseingänge!$A$4:$A$500,A25,Vertragseingänge!$E$4:$E$500,Steuerung!$B$22,Vertragseingänge!$C$4:$C$500,$E$4*1)=0,"",COUNTIFS(Vertragseingänge!$A$4:$A$500,A25,Vertragseingänge!$E$4:$E$500,Steuerung!$B$22,Vertragseingänge!$C$4:$C$500,$E$4*1)))),"")</f>
        <v/>
      </c>
      <c r="J25" s="9">
        <f t="shared" si="0"/>
        <v>1</v>
      </c>
      <c r="L25" s="115" t="s">
        <v>39</v>
      </c>
      <c r="M25" s="115"/>
      <c r="N25" s="115"/>
      <c r="O25" s="115"/>
      <c r="P25" s="115"/>
    </row>
    <row r="26" spans="1:16" ht="15" customHeight="1" x14ac:dyDescent="0.25">
      <c r="A26" s="3" t="s">
        <v>40</v>
      </c>
      <c r="B26" s="4">
        <f>IF($E$4="Alle",COUNTIFS(Vertragseingänge!$A$4:$A$500,A26),COUNTIFS(Vertragseingänge!$A$4:$A$500,A26,Vertragseingänge!$C$4:$C$500,$E$4*1))</f>
        <v>5</v>
      </c>
      <c r="C26" s="5">
        <f>IFERROR(IF(Steuerung!$B$16="","",IF($E$4="Alle",IF(COUNTIFS(Vertragseingänge!$A$4:$A$500,A26,Vertragseingänge!$E$4:$E$500,Steuerung!$B$16)=0,"",COUNTIFS(Vertragseingänge!$A$4:$A$500,A26,Vertragseingänge!$E$4:$E$500,Steuerung!$B$16)),IF(COUNTIFS(Vertragseingänge!$A$4:$A$500,A26,Vertragseingänge!$E$4:$E$500,Steuerung!$B$16,Vertragseingänge!$C$4:$C$500,$E$4*1)=0,"",COUNTIFS(Vertragseingänge!$A$4:$A$500,A26,Vertragseingänge!$E$4:$E$500,Steuerung!$B$16,Vertragseingänge!$C$4:$C$500,$E$4*1)))),"")</f>
        <v>1</v>
      </c>
      <c r="D26" s="5">
        <f>IFERROR(IF(Steuerung!$B$17="","",IF($E$4="Alle",IF(COUNTIFS(Vertragseingänge!$A$4:$A$500,A26,Vertragseingänge!$E$4:$E$500,Steuerung!$B$17)=0,"",COUNTIFS(Vertragseingänge!$A$4:$A$500,A26,Vertragseingänge!$E$4:$E$500,Steuerung!$B$17)),IF(COUNTIFS(Vertragseingänge!$A$4:$A$500,A26,Vertragseingänge!$E$4:$E$500,Steuerung!$B$17,Vertragseingänge!$C$4:$C$500,$E$4*1)=0,"",COUNTIFS(Vertragseingänge!$A$4:$A$500,A26,Vertragseingänge!$E$4:$E$500,Steuerung!$B$17,Vertragseingänge!$C$4:$C$500,$E$4*1)))),"")</f>
        <v>1</v>
      </c>
      <c r="E26" s="5" t="str">
        <f>IFERROR(IF(Steuerung!$B$18="","",IF($E$4="Alle",IF(COUNTIFS(Vertragseingänge!$A$4:$A$500,A26,Vertragseingänge!$E$4:$E$500,Steuerung!$B$18)=0,"",COUNTIFS(Vertragseingänge!$A$4:$A$500,A26,Vertragseingänge!$E$4:$E$500,Steuerung!$B$18)),IF(COUNTIFS(Vertragseingänge!$A$4:$A$500,A26,Vertragseingänge!$E$4:$E$500,Steuerung!$B$18,Vertragseingänge!$C$4:$C$500,$E$4*1)=0,"",COUNTIFS(Vertragseingänge!$A$4:$A$500,A26,Vertragseingänge!$E$4:$E$500,Steuerung!$B$18,Vertragseingänge!$C$4:$C$500,$E$4*1)))),"")</f>
        <v/>
      </c>
      <c r="F26" s="5" t="str">
        <f>IFERROR(IF(Steuerung!$B$19="","",IF($E$4="Alle",IF(COUNTIFS(Vertragseingänge!$A$4:$A$500,A26,Vertragseingänge!$E$4:$E$500,Steuerung!$B$19)=0,"",COUNTIFS(Vertragseingänge!$A$4:$A$500,A26,Vertragseingänge!$E$4:$E$500,Steuerung!$B$19)),IF(COUNTIFS(Vertragseingänge!$A$4:$A$500,A26,Vertragseingänge!$E$4:$E$500,Steuerung!$B$19,Vertragseingänge!$C$4:$C$500,$E$4*1)=0,"",COUNTIFS(Vertragseingänge!$A$4:$A$500,A26,Vertragseingänge!$E$4:$E$500,Steuerung!$B$19,Vertragseingänge!$C$4:$C$500,$E$4*1)))),"")</f>
        <v/>
      </c>
      <c r="G26" s="5" t="str">
        <f>IFERROR(IF(Steuerung!$B$20="","",IF($E$4="Alle",IF(COUNTIFS(Vertragseingänge!$A$4:$A$500,A26,Vertragseingänge!$E$4:$E$500,Steuerung!$B$20)=0,"",COUNTIFS(Vertragseingänge!$A$4:$A$500,A26,Vertragseingänge!$E$4:$E$500,Steuerung!$B$20)),IF(COUNTIFS(Vertragseingänge!$A$4:$A$500,A26,Vertragseingänge!$E$4:$E$500,Steuerung!$B$20,Vertragseingänge!$C$4:$C$500,$E$4*1)=0,"",COUNTIFS(Vertragseingänge!$A$4:$A$500,A26,Vertragseingänge!$E$4:$E$500,Steuerung!$B$20,Vertragseingänge!$C$4:$C$500,$E$4*1)))),"")</f>
        <v/>
      </c>
      <c r="H26" s="5" t="str">
        <f>IFERROR(IF(Steuerung!$B$21="","",IF($E$4="Alle",IF(COUNTIFS(Vertragseingänge!$A$4:$A$500,A26,Vertragseingänge!$E$4:$E$500,Steuerung!$B$21)=0,"",COUNTIFS(Vertragseingänge!$A$4:$A$500,A26,Vertragseingänge!$E$4:$E$500,Steuerung!$B$21)),IF(COUNTIFS(Vertragseingänge!$A$4:$A$500,A26,Vertragseingänge!$E$4:$E$500,Steuerung!$B$21,Vertragseingänge!$C$4:$C$500,$E$4*1)=0,"",COUNTIFS(Vertragseingänge!$A$4:$A$500,A26,Vertragseingänge!$E$4:$E$500,Steuerung!$B$21,Vertragseingänge!$C$4:$C$500,$E$4*1)))),"")</f>
        <v/>
      </c>
      <c r="I26" s="5" t="str">
        <f>IFERROR(IF(Steuerung!$B$22="","",IF($E$4="Alle",IF(COUNTIFS(Vertragseingänge!$A$4:$A$500,A26,Vertragseingänge!$E$4:$E$500,Steuerung!$B$22)=0,"",COUNTIFS(Vertragseingänge!$A$4:$A$500,A26,Vertragseingänge!$E$4:$E$500,Steuerung!$B$22)),IF(COUNTIFS(Vertragseingänge!$A$4:$A$500,A26,Vertragseingänge!$E$4:$E$500,Steuerung!$B$22,Vertragseingänge!$C$4:$C$500,$E$4*1)=0,"",COUNTIFS(Vertragseingänge!$A$4:$A$500,A26,Vertragseingänge!$E$4:$E$500,Steuerung!$B$22,Vertragseingänge!$C$4:$C$500,$E$4*1)))),"")</f>
        <v/>
      </c>
      <c r="J26" s="5">
        <f t="shared" si="0"/>
        <v>3</v>
      </c>
      <c r="L26" s="112" t="str">
        <f>IF(Steuerung!B6="","  (leerer Slot)","  "&amp;Steuerung!C6)</f>
        <v xml:space="preserve">  Fatima</v>
      </c>
      <c r="M26" s="112"/>
      <c r="N26" s="112"/>
      <c r="O26" s="112"/>
      <c r="P26" s="112"/>
    </row>
    <row r="27" spans="1:16" ht="15" customHeight="1" x14ac:dyDescent="0.25">
      <c r="A27" s="7" t="s">
        <v>41</v>
      </c>
      <c r="B27" s="8">
        <f>IF($E$4="Alle",COUNTIFS(Vertragseingänge!$A$4:$A$500,A27),COUNTIFS(Vertragseingänge!$A$4:$A$500,A27,Vertragseingänge!$C$4:$C$500,$E$4*1))</f>
        <v>5</v>
      </c>
      <c r="C27" s="9">
        <f>IFERROR(IF(Steuerung!$B$16="","",IF($E$4="Alle",IF(COUNTIFS(Vertragseingänge!$A$4:$A$500,A27,Vertragseingänge!$E$4:$E$500,Steuerung!$B$16)=0,"",COUNTIFS(Vertragseingänge!$A$4:$A$500,A27,Vertragseingänge!$E$4:$E$500,Steuerung!$B$16)),IF(COUNTIFS(Vertragseingänge!$A$4:$A$500,A27,Vertragseingänge!$E$4:$E$500,Steuerung!$B$16,Vertragseingänge!$C$4:$C$500,$E$4*1)=0,"",COUNTIFS(Vertragseingänge!$A$4:$A$500,A27,Vertragseingänge!$E$4:$E$500,Steuerung!$B$16,Vertragseingänge!$C$4:$C$500,$E$4*1)))),"")</f>
        <v>3</v>
      </c>
      <c r="D27" s="9">
        <f>IFERROR(IF(Steuerung!$B$17="","",IF($E$4="Alle",IF(COUNTIFS(Vertragseingänge!$A$4:$A$500,A27,Vertragseingänge!$E$4:$E$500,Steuerung!$B$17)=0,"",COUNTIFS(Vertragseingänge!$A$4:$A$500,A27,Vertragseingänge!$E$4:$E$500,Steuerung!$B$17)),IF(COUNTIFS(Vertragseingänge!$A$4:$A$500,A27,Vertragseingänge!$E$4:$E$500,Steuerung!$B$17,Vertragseingänge!$C$4:$C$500,$E$4*1)=0,"",COUNTIFS(Vertragseingänge!$A$4:$A$500,A27,Vertragseingänge!$E$4:$E$500,Steuerung!$B$17,Vertragseingänge!$C$4:$C$500,$E$4*1)))),"")</f>
        <v>2</v>
      </c>
      <c r="E27" s="9" t="str">
        <f>IFERROR(IF(Steuerung!$B$18="","",IF($E$4="Alle",IF(COUNTIFS(Vertragseingänge!$A$4:$A$500,A27,Vertragseingänge!$E$4:$E$500,Steuerung!$B$18)=0,"",COUNTIFS(Vertragseingänge!$A$4:$A$500,A27,Vertragseingänge!$E$4:$E$500,Steuerung!$B$18)),IF(COUNTIFS(Vertragseingänge!$A$4:$A$500,A27,Vertragseingänge!$E$4:$E$500,Steuerung!$B$18,Vertragseingänge!$C$4:$C$500,$E$4*1)=0,"",COUNTIFS(Vertragseingänge!$A$4:$A$500,A27,Vertragseingänge!$E$4:$E$500,Steuerung!$B$18,Vertragseingänge!$C$4:$C$500,$E$4*1)))),"")</f>
        <v/>
      </c>
      <c r="F27" s="9" t="str">
        <f>IFERROR(IF(Steuerung!$B$19="","",IF($E$4="Alle",IF(COUNTIFS(Vertragseingänge!$A$4:$A$500,A27,Vertragseingänge!$E$4:$E$500,Steuerung!$B$19)=0,"",COUNTIFS(Vertragseingänge!$A$4:$A$500,A27,Vertragseingänge!$E$4:$E$500,Steuerung!$B$19)),IF(COUNTIFS(Vertragseingänge!$A$4:$A$500,A27,Vertragseingänge!$E$4:$E$500,Steuerung!$B$19,Vertragseingänge!$C$4:$C$500,$E$4*1)=0,"",COUNTIFS(Vertragseingänge!$A$4:$A$500,A27,Vertragseingänge!$E$4:$E$500,Steuerung!$B$19,Vertragseingänge!$C$4:$C$500,$E$4*1)))),"")</f>
        <v/>
      </c>
      <c r="G27" s="9" t="str">
        <f>IFERROR(IF(Steuerung!$B$20="","",IF($E$4="Alle",IF(COUNTIFS(Vertragseingänge!$A$4:$A$500,A27,Vertragseingänge!$E$4:$E$500,Steuerung!$B$20)=0,"",COUNTIFS(Vertragseingänge!$A$4:$A$500,A27,Vertragseingänge!$E$4:$E$500,Steuerung!$B$20)),IF(COUNTIFS(Vertragseingänge!$A$4:$A$500,A27,Vertragseingänge!$E$4:$E$500,Steuerung!$B$20,Vertragseingänge!$C$4:$C$500,$E$4*1)=0,"",COUNTIFS(Vertragseingänge!$A$4:$A$500,A27,Vertragseingänge!$E$4:$E$500,Steuerung!$B$20,Vertragseingänge!$C$4:$C$500,$E$4*1)))),"")</f>
        <v/>
      </c>
      <c r="H27" s="9" t="str">
        <f>IFERROR(IF(Steuerung!$B$21="","",IF($E$4="Alle",IF(COUNTIFS(Vertragseingänge!$A$4:$A$500,A27,Vertragseingänge!$E$4:$E$500,Steuerung!$B$21)=0,"",COUNTIFS(Vertragseingänge!$A$4:$A$500,A27,Vertragseingänge!$E$4:$E$500,Steuerung!$B$21)),IF(COUNTIFS(Vertragseingänge!$A$4:$A$500,A27,Vertragseingänge!$E$4:$E$500,Steuerung!$B$21,Vertragseingänge!$C$4:$C$500,$E$4*1)=0,"",COUNTIFS(Vertragseingänge!$A$4:$A$500,A27,Vertragseingänge!$E$4:$E$500,Steuerung!$B$21,Vertragseingänge!$C$4:$C$500,$E$4*1)))),"")</f>
        <v/>
      </c>
      <c r="I27" s="9" t="str">
        <f>IFERROR(IF(Steuerung!$B$22="","",IF($E$4="Alle",IF(COUNTIFS(Vertragseingänge!$A$4:$A$500,A27,Vertragseingänge!$E$4:$E$500,Steuerung!$B$22)=0,"",COUNTIFS(Vertragseingänge!$A$4:$A$500,A27,Vertragseingänge!$E$4:$E$500,Steuerung!$B$22)),IF(COUNTIFS(Vertragseingänge!$A$4:$A$500,A27,Vertragseingänge!$E$4:$E$500,Steuerung!$B$22,Vertragseingänge!$C$4:$C$500,$E$4*1)=0,"",COUNTIFS(Vertragseingänge!$A$4:$A$500,A27,Vertragseingänge!$E$4:$E$500,Steuerung!$B$22,Vertragseingänge!$C$4:$C$500,$E$4*1)))),"")</f>
        <v/>
      </c>
      <c r="J27" s="9" t="str">
        <f t="shared" si="0"/>
        <v/>
      </c>
      <c r="L27" s="25" t="s">
        <v>42</v>
      </c>
      <c r="M27" s="26" t="str">
        <f>IF(OR(Steuerung!$B$6="",NOT(OR($E$4="Alle",$E$4="2025"))),"",SUMIFS('Leads Rohdaten'!$D$4:$D$503,'Leads Rohdaten'!$C$4:$C$503,Steuerung!$B$6,'Leads Rohdaten'!$A$4:$A$503,2025,'Leads Rohdaten'!$B$4:$B$503,"Oktober"))</f>
        <v/>
      </c>
      <c r="N27" s="26" t="str">
        <f>IF(OR(Steuerung!$B$6="",NOT(OR($E$4="Alle",$E$4="2025"))),"",SUMIFS('Leads Rohdaten'!$E$4:$E$503,'Leads Rohdaten'!$C$4:$C$503,Steuerung!$B$6,'Leads Rohdaten'!$A$4:$A$503,2025,'Leads Rohdaten'!$B$4:$B$503,"Oktober"))</f>
        <v/>
      </c>
      <c r="O27" s="27" t="str">
        <f t="shared" ref="O27:O35" si="3">IF(OR(M27="",M27=0),"–",N27/M27)</f>
        <v>–</v>
      </c>
      <c r="P27" s="28" t="str">
        <f ca="1">IF(Steuerung!$B$6="","",IF(EOMONTH(DATE(2025,MATCH("Oktober",{"Januar","Februar","März","April","Mai","Juni","Juli","August","September","Oktober","November","Dezember"},0),1),0)&lt;=TODAY()-Steuerung!$C$27,"R","F"))</f>
        <v>R</v>
      </c>
    </row>
    <row r="28" spans="1:16" ht="15" customHeight="1" x14ac:dyDescent="0.25">
      <c r="A28" s="3" t="s">
        <v>43</v>
      </c>
      <c r="B28" s="4">
        <f>IF($E$4="Alle",COUNTIFS(Vertragseingänge!$A$4:$A$500,A28),COUNTIFS(Vertragseingänge!$A$4:$A$500,A28,Vertragseingänge!$C$4:$C$500,$E$4*1))</f>
        <v>0</v>
      </c>
      <c r="C28" s="5" t="str">
        <f>IFERROR(IF(Steuerung!$B$16="","",IF($E$4="Alle",IF(COUNTIFS(Vertragseingänge!$A$4:$A$500,A28,Vertragseingänge!$E$4:$E$500,Steuerung!$B$16)=0,"",COUNTIFS(Vertragseingänge!$A$4:$A$500,A28,Vertragseingänge!$E$4:$E$500,Steuerung!$B$16)),IF(COUNTIFS(Vertragseingänge!$A$4:$A$500,A28,Vertragseingänge!$E$4:$E$500,Steuerung!$B$16,Vertragseingänge!$C$4:$C$500,$E$4*1)=0,"",COUNTIFS(Vertragseingänge!$A$4:$A$500,A28,Vertragseingänge!$E$4:$E$500,Steuerung!$B$16,Vertragseingänge!$C$4:$C$500,$E$4*1)))),"")</f>
        <v/>
      </c>
      <c r="D28" s="5" t="str">
        <f>IFERROR(IF(Steuerung!$B$17="","",IF($E$4="Alle",IF(COUNTIFS(Vertragseingänge!$A$4:$A$500,A28,Vertragseingänge!$E$4:$E$500,Steuerung!$B$17)=0,"",COUNTIFS(Vertragseingänge!$A$4:$A$500,A28,Vertragseingänge!$E$4:$E$500,Steuerung!$B$17)),IF(COUNTIFS(Vertragseingänge!$A$4:$A$500,A28,Vertragseingänge!$E$4:$E$500,Steuerung!$B$17,Vertragseingänge!$C$4:$C$500,$E$4*1)=0,"",COUNTIFS(Vertragseingänge!$A$4:$A$500,A28,Vertragseingänge!$E$4:$E$500,Steuerung!$B$17,Vertragseingänge!$C$4:$C$500,$E$4*1)))),"")</f>
        <v/>
      </c>
      <c r="E28" s="5" t="str">
        <f>IFERROR(IF(Steuerung!$B$18="","",IF($E$4="Alle",IF(COUNTIFS(Vertragseingänge!$A$4:$A$500,A28,Vertragseingänge!$E$4:$E$500,Steuerung!$B$18)=0,"",COUNTIFS(Vertragseingänge!$A$4:$A$500,A28,Vertragseingänge!$E$4:$E$500,Steuerung!$B$18)),IF(COUNTIFS(Vertragseingänge!$A$4:$A$500,A28,Vertragseingänge!$E$4:$E$500,Steuerung!$B$18,Vertragseingänge!$C$4:$C$500,$E$4*1)=0,"",COUNTIFS(Vertragseingänge!$A$4:$A$500,A28,Vertragseingänge!$E$4:$E$500,Steuerung!$B$18,Vertragseingänge!$C$4:$C$500,$E$4*1)))),"")</f>
        <v/>
      </c>
      <c r="F28" s="5" t="str">
        <f>IFERROR(IF(Steuerung!$B$19="","",IF($E$4="Alle",IF(COUNTIFS(Vertragseingänge!$A$4:$A$500,A28,Vertragseingänge!$E$4:$E$500,Steuerung!$B$19)=0,"",COUNTIFS(Vertragseingänge!$A$4:$A$500,A28,Vertragseingänge!$E$4:$E$500,Steuerung!$B$19)),IF(COUNTIFS(Vertragseingänge!$A$4:$A$500,A28,Vertragseingänge!$E$4:$E$500,Steuerung!$B$19,Vertragseingänge!$C$4:$C$500,$E$4*1)=0,"",COUNTIFS(Vertragseingänge!$A$4:$A$500,A28,Vertragseingänge!$E$4:$E$500,Steuerung!$B$19,Vertragseingänge!$C$4:$C$500,$E$4*1)))),"")</f>
        <v/>
      </c>
      <c r="G28" s="5" t="str">
        <f>IFERROR(IF(Steuerung!$B$20="","",IF($E$4="Alle",IF(COUNTIFS(Vertragseingänge!$A$4:$A$500,A28,Vertragseingänge!$E$4:$E$500,Steuerung!$B$20)=0,"",COUNTIFS(Vertragseingänge!$A$4:$A$500,A28,Vertragseingänge!$E$4:$E$500,Steuerung!$B$20)),IF(COUNTIFS(Vertragseingänge!$A$4:$A$500,A28,Vertragseingänge!$E$4:$E$500,Steuerung!$B$20,Vertragseingänge!$C$4:$C$500,$E$4*1)=0,"",COUNTIFS(Vertragseingänge!$A$4:$A$500,A28,Vertragseingänge!$E$4:$E$500,Steuerung!$B$20,Vertragseingänge!$C$4:$C$500,$E$4*1)))),"")</f>
        <v/>
      </c>
      <c r="H28" s="5" t="str">
        <f>IFERROR(IF(Steuerung!$B$21="","",IF($E$4="Alle",IF(COUNTIFS(Vertragseingänge!$A$4:$A$500,A28,Vertragseingänge!$E$4:$E$500,Steuerung!$B$21)=0,"",COUNTIFS(Vertragseingänge!$A$4:$A$500,A28,Vertragseingänge!$E$4:$E$500,Steuerung!$B$21)),IF(COUNTIFS(Vertragseingänge!$A$4:$A$500,A28,Vertragseingänge!$E$4:$E$500,Steuerung!$B$21,Vertragseingänge!$C$4:$C$500,$E$4*1)=0,"",COUNTIFS(Vertragseingänge!$A$4:$A$500,A28,Vertragseingänge!$E$4:$E$500,Steuerung!$B$21,Vertragseingänge!$C$4:$C$500,$E$4*1)))),"")</f>
        <v/>
      </c>
      <c r="I28" s="5" t="str">
        <f>IFERROR(IF(Steuerung!$B$22="","",IF($E$4="Alle",IF(COUNTIFS(Vertragseingänge!$A$4:$A$500,A28,Vertragseingänge!$E$4:$E$500,Steuerung!$B$22)=0,"",COUNTIFS(Vertragseingänge!$A$4:$A$500,A28,Vertragseingänge!$E$4:$E$500,Steuerung!$B$22)),IF(COUNTIFS(Vertragseingänge!$A$4:$A$500,A28,Vertragseingänge!$E$4:$E$500,Steuerung!$B$22,Vertragseingänge!$C$4:$C$500,$E$4*1)=0,"",COUNTIFS(Vertragseingänge!$A$4:$A$500,A28,Vertragseingänge!$E$4:$E$500,Steuerung!$B$22,Vertragseingänge!$C$4:$C$500,$E$4*1)))),"")</f>
        <v/>
      </c>
      <c r="J28" s="5" t="str">
        <f t="shared" si="0"/>
        <v/>
      </c>
      <c r="L28" s="29" t="s">
        <v>44</v>
      </c>
      <c r="M28" s="30" t="str">
        <f>IF(OR(Steuerung!$B$6="",NOT(OR($E$4="Alle",$E$4="2025"))),"",SUMIFS('Leads Rohdaten'!$D$4:$D$503,'Leads Rohdaten'!$C$4:$C$503,Steuerung!$B$6,'Leads Rohdaten'!$A$4:$A$503,2025,'Leads Rohdaten'!$B$4:$B$503,"November"))</f>
        <v/>
      </c>
      <c r="N28" s="30" t="str">
        <f>IF(OR(Steuerung!$B$6="",NOT(OR($E$4="Alle",$E$4="2025"))),"",SUMIFS('Leads Rohdaten'!$E$4:$E$503,'Leads Rohdaten'!$C$4:$C$503,Steuerung!$B$6,'Leads Rohdaten'!$A$4:$A$503,2025,'Leads Rohdaten'!$B$4:$B$503,"November"))</f>
        <v/>
      </c>
      <c r="O28" s="31" t="str">
        <f t="shared" si="3"/>
        <v>–</v>
      </c>
      <c r="P28" s="32" t="str">
        <f ca="1">IF(Steuerung!$B$6="","",IF(EOMONTH(DATE(2025,MATCH("November",{"Januar","Februar","März","April","Mai","Juni","Juli","August","September","Oktober","November","Dezember"},0),1),0)&lt;=TODAY()-Steuerung!$C$27,"R","F"))</f>
        <v>R</v>
      </c>
    </row>
    <row r="29" spans="1:16" ht="15" customHeight="1" x14ac:dyDescent="0.25">
      <c r="A29" s="7" t="s">
        <v>45</v>
      </c>
      <c r="B29" s="8">
        <f>IF($E$4="Alle",COUNTIFS(Vertragseingänge!$A$4:$A$500,A29),COUNTIFS(Vertragseingänge!$A$4:$A$500,A29,Vertragseingänge!$C$4:$C$500,$E$4*1))</f>
        <v>0</v>
      </c>
      <c r="C29" s="9" t="str">
        <f>IFERROR(IF(Steuerung!$B$16="","",IF($E$4="Alle",IF(COUNTIFS(Vertragseingänge!$A$4:$A$500,A29,Vertragseingänge!$E$4:$E$500,Steuerung!$B$16)=0,"",COUNTIFS(Vertragseingänge!$A$4:$A$500,A29,Vertragseingänge!$E$4:$E$500,Steuerung!$B$16)),IF(COUNTIFS(Vertragseingänge!$A$4:$A$500,A29,Vertragseingänge!$E$4:$E$500,Steuerung!$B$16,Vertragseingänge!$C$4:$C$500,$E$4*1)=0,"",COUNTIFS(Vertragseingänge!$A$4:$A$500,A29,Vertragseingänge!$E$4:$E$500,Steuerung!$B$16,Vertragseingänge!$C$4:$C$500,$E$4*1)))),"")</f>
        <v/>
      </c>
      <c r="D29" s="9" t="str">
        <f>IFERROR(IF(Steuerung!$B$17="","",IF($E$4="Alle",IF(COUNTIFS(Vertragseingänge!$A$4:$A$500,A29,Vertragseingänge!$E$4:$E$500,Steuerung!$B$17)=0,"",COUNTIFS(Vertragseingänge!$A$4:$A$500,A29,Vertragseingänge!$E$4:$E$500,Steuerung!$B$17)),IF(COUNTIFS(Vertragseingänge!$A$4:$A$500,A29,Vertragseingänge!$E$4:$E$500,Steuerung!$B$17,Vertragseingänge!$C$4:$C$500,$E$4*1)=0,"",COUNTIFS(Vertragseingänge!$A$4:$A$500,A29,Vertragseingänge!$E$4:$E$500,Steuerung!$B$17,Vertragseingänge!$C$4:$C$500,$E$4*1)))),"")</f>
        <v/>
      </c>
      <c r="E29" s="9" t="str">
        <f>IFERROR(IF(Steuerung!$B$18="","",IF($E$4="Alle",IF(COUNTIFS(Vertragseingänge!$A$4:$A$500,A29,Vertragseingänge!$E$4:$E$500,Steuerung!$B$18)=0,"",COUNTIFS(Vertragseingänge!$A$4:$A$500,A29,Vertragseingänge!$E$4:$E$500,Steuerung!$B$18)),IF(COUNTIFS(Vertragseingänge!$A$4:$A$500,A29,Vertragseingänge!$E$4:$E$500,Steuerung!$B$18,Vertragseingänge!$C$4:$C$500,$E$4*1)=0,"",COUNTIFS(Vertragseingänge!$A$4:$A$500,A29,Vertragseingänge!$E$4:$E$500,Steuerung!$B$18,Vertragseingänge!$C$4:$C$500,$E$4*1)))),"")</f>
        <v/>
      </c>
      <c r="F29" s="9" t="str">
        <f>IFERROR(IF(Steuerung!$B$19="","",IF($E$4="Alle",IF(COUNTIFS(Vertragseingänge!$A$4:$A$500,A29,Vertragseingänge!$E$4:$E$500,Steuerung!$B$19)=0,"",COUNTIFS(Vertragseingänge!$A$4:$A$500,A29,Vertragseingänge!$E$4:$E$500,Steuerung!$B$19)),IF(COUNTIFS(Vertragseingänge!$A$4:$A$500,A29,Vertragseingänge!$E$4:$E$500,Steuerung!$B$19,Vertragseingänge!$C$4:$C$500,$E$4*1)=0,"",COUNTIFS(Vertragseingänge!$A$4:$A$500,A29,Vertragseingänge!$E$4:$E$500,Steuerung!$B$19,Vertragseingänge!$C$4:$C$500,$E$4*1)))),"")</f>
        <v/>
      </c>
      <c r="G29" s="9" t="str">
        <f>IFERROR(IF(Steuerung!$B$20="","",IF($E$4="Alle",IF(COUNTIFS(Vertragseingänge!$A$4:$A$500,A29,Vertragseingänge!$E$4:$E$500,Steuerung!$B$20)=0,"",COUNTIFS(Vertragseingänge!$A$4:$A$500,A29,Vertragseingänge!$E$4:$E$500,Steuerung!$B$20)),IF(COUNTIFS(Vertragseingänge!$A$4:$A$500,A29,Vertragseingänge!$E$4:$E$500,Steuerung!$B$20,Vertragseingänge!$C$4:$C$500,$E$4*1)=0,"",COUNTIFS(Vertragseingänge!$A$4:$A$500,A29,Vertragseingänge!$E$4:$E$500,Steuerung!$B$20,Vertragseingänge!$C$4:$C$500,$E$4*1)))),"")</f>
        <v/>
      </c>
      <c r="H29" s="9" t="str">
        <f>IFERROR(IF(Steuerung!$B$21="","",IF($E$4="Alle",IF(COUNTIFS(Vertragseingänge!$A$4:$A$500,A29,Vertragseingänge!$E$4:$E$500,Steuerung!$B$21)=0,"",COUNTIFS(Vertragseingänge!$A$4:$A$500,A29,Vertragseingänge!$E$4:$E$500,Steuerung!$B$21)),IF(COUNTIFS(Vertragseingänge!$A$4:$A$500,A29,Vertragseingänge!$E$4:$E$500,Steuerung!$B$21,Vertragseingänge!$C$4:$C$500,$E$4*1)=0,"",COUNTIFS(Vertragseingänge!$A$4:$A$500,A29,Vertragseingänge!$E$4:$E$500,Steuerung!$B$21,Vertragseingänge!$C$4:$C$500,$E$4*1)))),"")</f>
        <v/>
      </c>
      <c r="I29" s="9" t="str">
        <f>IFERROR(IF(Steuerung!$B$22="","",IF($E$4="Alle",IF(COUNTIFS(Vertragseingänge!$A$4:$A$500,A29,Vertragseingänge!$E$4:$E$500,Steuerung!$B$22)=0,"",COUNTIFS(Vertragseingänge!$A$4:$A$500,A29,Vertragseingänge!$E$4:$E$500,Steuerung!$B$22)),IF(COUNTIFS(Vertragseingänge!$A$4:$A$500,A29,Vertragseingänge!$E$4:$E$500,Steuerung!$B$22,Vertragseingänge!$C$4:$C$500,$E$4*1)=0,"",COUNTIFS(Vertragseingänge!$A$4:$A$500,A29,Vertragseingänge!$E$4:$E$500,Steuerung!$B$22,Vertragseingänge!$C$4:$C$500,$E$4*1)))),"")</f>
        <v/>
      </c>
      <c r="J29" s="9" t="str">
        <f t="shared" si="0"/>
        <v/>
      </c>
      <c r="L29" s="25" t="s">
        <v>46</v>
      </c>
      <c r="M29" s="26" t="str">
        <f>IF(OR(Steuerung!$B$6="",NOT(OR($E$4="Alle",$E$4="2025"))),"",SUMIFS('Leads Rohdaten'!$D$4:$D$503,'Leads Rohdaten'!$C$4:$C$503,Steuerung!$B$6,'Leads Rohdaten'!$A$4:$A$503,2025,'Leads Rohdaten'!$B$4:$B$503,"Dezember"))</f>
        <v/>
      </c>
      <c r="N29" s="26" t="str">
        <f>IF(OR(Steuerung!$B$6="",NOT(OR($E$4="Alle",$E$4="2025"))),"",SUMIFS('Leads Rohdaten'!$E$4:$E$503,'Leads Rohdaten'!$C$4:$C$503,Steuerung!$B$6,'Leads Rohdaten'!$A$4:$A$503,2025,'Leads Rohdaten'!$B$4:$B$503,"Dezember"))</f>
        <v/>
      </c>
      <c r="O29" s="27" t="str">
        <f t="shared" si="3"/>
        <v>–</v>
      </c>
      <c r="P29" s="28" t="str">
        <f ca="1">IF(Steuerung!$B$6="","",IF(EOMONTH(DATE(2025,MATCH("Dezember",{"Januar","Februar","März","April","Mai","Juni","Juli","August","September","Oktober","November","Dezember"},0),1),0)&lt;=TODAY()-Steuerung!$C$27,"R","F"))</f>
        <v>R</v>
      </c>
    </row>
    <row r="30" spans="1:16" ht="15" customHeight="1" x14ac:dyDescent="0.25">
      <c r="A30" s="3" t="s">
        <v>47</v>
      </c>
      <c r="B30" s="4">
        <f>IF($E$4="Alle",COUNTIFS(Vertragseingänge!$A$4:$A$500,A30),COUNTIFS(Vertragseingänge!$A$4:$A$500,A30,Vertragseingänge!$C$4:$C$500,$E$4*1))</f>
        <v>19</v>
      </c>
      <c r="C30" s="5">
        <f>IFERROR(IF(Steuerung!$B$16="","",IF($E$4="Alle",IF(COUNTIFS(Vertragseingänge!$A$4:$A$500,A30,Vertragseingänge!$E$4:$E$500,Steuerung!$B$16)=0,"",COUNTIFS(Vertragseingänge!$A$4:$A$500,A30,Vertragseingänge!$E$4:$E$500,Steuerung!$B$16)),IF(COUNTIFS(Vertragseingänge!$A$4:$A$500,A30,Vertragseingänge!$E$4:$E$500,Steuerung!$B$16,Vertragseingänge!$C$4:$C$500,$E$4*1)=0,"",COUNTIFS(Vertragseingänge!$A$4:$A$500,A30,Vertragseingänge!$E$4:$E$500,Steuerung!$B$16,Vertragseingänge!$C$4:$C$500,$E$4*1)))),"")</f>
        <v>7</v>
      </c>
      <c r="D30" s="5">
        <f>IFERROR(IF(Steuerung!$B$17="","",IF($E$4="Alle",IF(COUNTIFS(Vertragseingänge!$A$4:$A$500,A30,Vertragseingänge!$E$4:$E$500,Steuerung!$B$17)=0,"",COUNTIFS(Vertragseingänge!$A$4:$A$500,A30,Vertragseingänge!$E$4:$E$500,Steuerung!$B$17)),IF(COUNTIFS(Vertragseingänge!$A$4:$A$500,A30,Vertragseingänge!$E$4:$E$500,Steuerung!$B$17,Vertragseingänge!$C$4:$C$500,$E$4*1)=0,"",COUNTIFS(Vertragseingänge!$A$4:$A$500,A30,Vertragseingänge!$E$4:$E$500,Steuerung!$B$17,Vertragseingänge!$C$4:$C$500,$E$4*1)))),"")</f>
        <v>4</v>
      </c>
      <c r="E30" s="5" t="str">
        <f>IFERROR(IF(Steuerung!$B$18="","",IF($E$4="Alle",IF(COUNTIFS(Vertragseingänge!$A$4:$A$500,A30,Vertragseingänge!$E$4:$E$500,Steuerung!$B$18)=0,"",COUNTIFS(Vertragseingänge!$A$4:$A$500,A30,Vertragseingänge!$E$4:$E$500,Steuerung!$B$18)),IF(COUNTIFS(Vertragseingänge!$A$4:$A$500,A30,Vertragseingänge!$E$4:$E$500,Steuerung!$B$18,Vertragseingänge!$C$4:$C$500,$E$4*1)=0,"",COUNTIFS(Vertragseingänge!$A$4:$A$500,A30,Vertragseingänge!$E$4:$E$500,Steuerung!$B$18,Vertragseingänge!$C$4:$C$500,$E$4*1)))),"")</f>
        <v/>
      </c>
      <c r="F30" s="5">
        <f>IFERROR(IF(Steuerung!$B$19="","",IF($E$4="Alle",IF(COUNTIFS(Vertragseingänge!$A$4:$A$500,A30,Vertragseingänge!$E$4:$E$500,Steuerung!$B$19)=0,"",COUNTIFS(Vertragseingänge!$A$4:$A$500,A30,Vertragseingänge!$E$4:$E$500,Steuerung!$B$19)),IF(COUNTIFS(Vertragseingänge!$A$4:$A$500,A30,Vertragseingänge!$E$4:$E$500,Steuerung!$B$19,Vertragseingänge!$C$4:$C$500,$E$4*1)=0,"",COUNTIFS(Vertragseingänge!$A$4:$A$500,A30,Vertragseingänge!$E$4:$E$500,Steuerung!$B$19,Vertragseingänge!$C$4:$C$500,$E$4*1)))),"")</f>
        <v>6</v>
      </c>
      <c r="G30" s="5" t="str">
        <f>IFERROR(IF(Steuerung!$B$20="","",IF($E$4="Alle",IF(COUNTIFS(Vertragseingänge!$A$4:$A$500,A30,Vertragseingänge!$E$4:$E$500,Steuerung!$B$20)=0,"",COUNTIFS(Vertragseingänge!$A$4:$A$500,A30,Vertragseingänge!$E$4:$E$500,Steuerung!$B$20)),IF(COUNTIFS(Vertragseingänge!$A$4:$A$500,A30,Vertragseingänge!$E$4:$E$500,Steuerung!$B$20,Vertragseingänge!$C$4:$C$500,$E$4*1)=0,"",COUNTIFS(Vertragseingänge!$A$4:$A$500,A30,Vertragseingänge!$E$4:$E$500,Steuerung!$B$20,Vertragseingänge!$C$4:$C$500,$E$4*1)))),"")</f>
        <v/>
      </c>
      <c r="H30" s="5" t="str">
        <f>IFERROR(IF(Steuerung!$B$21="","",IF($E$4="Alle",IF(COUNTIFS(Vertragseingänge!$A$4:$A$500,A30,Vertragseingänge!$E$4:$E$500,Steuerung!$B$21)=0,"",COUNTIFS(Vertragseingänge!$A$4:$A$500,A30,Vertragseingänge!$E$4:$E$500,Steuerung!$B$21)),IF(COUNTIFS(Vertragseingänge!$A$4:$A$500,A30,Vertragseingänge!$E$4:$E$500,Steuerung!$B$21,Vertragseingänge!$C$4:$C$500,$E$4*1)=0,"",COUNTIFS(Vertragseingänge!$A$4:$A$500,A30,Vertragseingänge!$E$4:$E$500,Steuerung!$B$21,Vertragseingänge!$C$4:$C$500,$E$4*1)))),"")</f>
        <v/>
      </c>
      <c r="I30" s="5" t="str">
        <f>IFERROR(IF(Steuerung!$B$22="","",IF($E$4="Alle",IF(COUNTIFS(Vertragseingänge!$A$4:$A$500,A30,Vertragseingänge!$E$4:$E$500,Steuerung!$B$22)=0,"",COUNTIFS(Vertragseingänge!$A$4:$A$500,A30,Vertragseingänge!$E$4:$E$500,Steuerung!$B$22)),IF(COUNTIFS(Vertragseingänge!$A$4:$A$500,A30,Vertragseingänge!$E$4:$E$500,Steuerung!$B$22,Vertragseingänge!$C$4:$C$500,$E$4*1)=0,"",COUNTIFS(Vertragseingänge!$A$4:$A$500,A30,Vertragseingänge!$E$4:$E$500,Steuerung!$B$22,Vertragseingänge!$C$4:$C$500,$E$4*1)))),"")</f>
        <v/>
      </c>
      <c r="J30" s="5">
        <f t="shared" si="0"/>
        <v>2</v>
      </c>
      <c r="L30" s="29" t="s">
        <v>48</v>
      </c>
      <c r="M30" s="30" t="str">
        <f>IF(OR(Steuerung!$B$6="",NOT(OR($E$4="Alle",$E$4="2026"))),"",SUMIFS('Leads Rohdaten'!$D$4:$D$503,'Leads Rohdaten'!$C$4:$C$503,Steuerung!$B$6,'Leads Rohdaten'!$A$4:$A$503,2026,'Leads Rohdaten'!$B$4:$B$503,"Januar"))</f>
        <v/>
      </c>
      <c r="N30" s="30" t="str">
        <f>IF(OR(Steuerung!$B$6="",NOT(OR($E$4="Alle",$E$4="2026"))),"",SUMIFS('Leads Rohdaten'!$E$4:$E$503,'Leads Rohdaten'!$C$4:$C$503,Steuerung!$B$6,'Leads Rohdaten'!$A$4:$A$503,2026,'Leads Rohdaten'!$B$4:$B$503,"Januar"))</f>
        <v/>
      </c>
      <c r="O30" s="31" t="str">
        <f t="shared" si="3"/>
        <v>–</v>
      </c>
      <c r="P30" s="32" t="str">
        <f ca="1">IF(Steuerung!$B$6="","",IF(EOMONTH(DATE(2026,MATCH("Januar",{"Januar","Februar","März","April","Mai","Juni","Juli","August","September","Oktober","November","Dezember"},0),1),0)&lt;=TODAY()-Steuerung!$C$27,"R","F"))</f>
        <v>R</v>
      </c>
    </row>
    <row r="31" spans="1:16" ht="15" customHeight="1" x14ac:dyDescent="0.25">
      <c r="A31" s="7" t="s">
        <v>49</v>
      </c>
      <c r="B31" s="8">
        <f>IF($E$4="Alle",COUNTIFS(Vertragseingänge!$A$4:$A$500,A31),COUNTIFS(Vertragseingänge!$A$4:$A$500,A31,Vertragseingänge!$C$4:$C$500,$E$4*1))</f>
        <v>19</v>
      </c>
      <c r="C31" s="9">
        <f>IFERROR(IF(Steuerung!$B$16="","",IF($E$4="Alle",IF(COUNTIFS(Vertragseingänge!$A$4:$A$500,A31,Vertragseingänge!$E$4:$E$500,Steuerung!$B$16)=0,"",COUNTIFS(Vertragseingänge!$A$4:$A$500,A31,Vertragseingänge!$E$4:$E$500,Steuerung!$B$16)),IF(COUNTIFS(Vertragseingänge!$A$4:$A$500,A31,Vertragseingänge!$E$4:$E$500,Steuerung!$B$16,Vertragseingänge!$C$4:$C$500,$E$4*1)=0,"",COUNTIFS(Vertragseingänge!$A$4:$A$500,A31,Vertragseingänge!$E$4:$E$500,Steuerung!$B$16,Vertragseingänge!$C$4:$C$500,$E$4*1)))),"")</f>
        <v>12</v>
      </c>
      <c r="D31" s="9">
        <f>IFERROR(IF(Steuerung!$B$17="","",IF($E$4="Alle",IF(COUNTIFS(Vertragseingänge!$A$4:$A$500,A31,Vertragseingänge!$E$4:$E$500,Steuerung!$B$17)=0,"",COUNTIFS(Vertragseingänge!$A$4:$A$500,A31,Vertragseingänge!$E$4:$E$500,Steuerung!$B$17)),IF(COUNTIFS(Vertragseingänge!$A$4:$A$500,A31,Vertragseingänge!$E$4:$E$500,Steuerung!$B$17,Vertragseingänge!$C$4:$C$500,$E$4*1)=0,"",COUNTIFS(Vertragseingänge!$A$4:$A$500,A31,Vertragseingänge!$E$4:$E$500,Steuerung!$B$17,Vertragseingänge!$C$4:$C$500,$E$4*1)))),"")</f>
        <v>4</v>
      </c>
      <c r="E31" s="9" t="str">
        <f>IFERROR(IF(Steuerung!$B$18="","",IF($E$4="Alle",IF(COUNTIFS(Vertragseingänge!$A$4:$A$500,A31,Vertragseingänge!$E$4:$E$500,Steuerung!$B$18)=0,"",COUNTIFS(Vertragseingänge!$A$4:$A$500,A31,Vertragseingänge!$E$4:$E$500,Steuerung!$B$18)),IF(COUNTIFS(Vertragseingänge!$A$4:$A$500,A31,Vertragseingänge!$E$4:$E$500,Steuerung!$B$18,Vertragseingänge!$C$4:$C$500,$E$4*1)=0,"",COUNTIFS(Vertragseingänge!$A$4:$A$500,A31,Vertragseingänge!$E$4:$E$500,Steuerung!$B$18,Vertragseingänge!$C$4:$C$500,$E$4*1)))),"")</f>
        <v/>
      </c>
      <c r="F31" s="9">
        <f>IFERROR(IF(Steuerung!$B$19="","",IF($E$4="Alle",IF(COUNTIFS(Vertragseingänge!$A$4:$A$500,A31,Vertragseingänge!$E$4:$E$500,Steuerung!$B$19)=0,"",COUNTIFS(Vertragseingänge!$A$4:$A$500,A31,Vertragseingänge!$E$4:$E$500,Steuerung!$B$19)),IF(COUNTIFS(Vertragseingänge!$A$4:$A$500,A31,Vertragseingänge!$E$4:$E$500,Steuerung!$B$19,Vertragseingänge!$C$4:$C$500,$E$4*1)=0,"",COUNTIFS(Vertragseingänge!$A$4:$A$500,A31,Vertragseingänge!$E$4:$E$500,Steuerung!$B$19,Vertragseingänge!$C$4:$C$500,$E$4*1)))),"")</f>
        <v>2</v>
      </c>
      <c r="G31" s="9" t="str">
        <f>IFERROR(IF(Steuerung!$B$20="","",IF($E$4="Alle",IF(COUNTIFS(Vertragseingänge!$A$4:$A$500,A31,Vertragseingänge!$E$4:$E$500,Steuerung!$B$20)=0,"",COUNTIFS(Vertragseingänge!$A$4:$A$500,A31,Vertragseingänge!$E$4:$E$500,Steuerung!$B$20)),IF(COUNTIFS(Vertragseingänge!$A$4:$A$500,A31,Vertragseingänge!$E$4:$E$500,Steuerung!$B$20,Vertragseingänge!$C$4:$C$500,$E$4*1)=0,"",COUNTIFS(Vertragseingänge!$A$4:$A$500,A31,Vertragseingänge!$E$4:$E$500,Steuerung!$B$20,Vertragseingänge!$C$4:$C$500,$E$4*1)))),"")</f>
        <v/>
      </c>
      <c r="H31" s="9" t="str">
        <f>IFERROR(IF(Steuerung!$B$21="","",IF($E$4="Alle",IF(COUNTIFS(Vertragseingänge!$A$4:$A$500,A31,Vertragseingänge!$E$4:$E$500,Steuerung!$B$21)=0,"",COUNTIFS(Vertragseingänge!$A$4:$A$500,A31,Vertragseingänge!$E$4:$E$500,Steuerung!$B$21)),IF(COUNTIFS(Vertragseingänge!$A$4:$A$500,A31,Vertragseingänge!$E$4:$E$500,Steuerung!$B$21,Vertragseingänge!$C$4:$C$500,$E$4*1)=0,"",COUNTIFS(Vertragseingänge!$A$4:$A$500,A31,Vertragseingänge!$E$4:$E$500,Steuerung!$B$21,Vertragseingänge!$C$4:$C$500,$E$4*1)))),"")</f>
        <v/>
      </c>
      <c r="I31" s="9" t="str">
        <f>IFERROR(IF(Steuerung!$B$22="","",IF($E$4="Alle",IF(COUNTIFS(Vertragseingänge!$A$4:$A$500,A31,Vertragseingänge!$E$4:$E$500,Steuerung!$B$22)=0,"",COUNTIFS(Vertragseingänge!$A$4:$A$500,A31,Vertragseingänge!$E$4:$E$500,Steuerung!$B$22)),IF(COUNTIFS(Vertragseingänge!$A$4:$A$500,A31,Vertragseingänge!$E$4:$E$500,Steuerung!$B$22,Vertragseingänge!$C$4:$C$500,$E$4*1)=0,"",COUNTIFS(Vertragseingänge!$A$4:$A$500,A31,Vertragseingänge!$E$4:$E$500,Steuerung!$B$22,Vertragseingänge!$C$4:$C$500,$E$4*1)))),"")</f>
        <v/>
      </c>
      <c r="J31" s="9">
        <f t="shared" si="0"/>
        <v>1</v>
      </c>
      <c r="L31" s="25" t="s">
        <v>50</v>
      </c>
      <c r="M31" s="26" t="str">
        <f>IF(OR(Steuerung!$B$6="",NOT(OR($E$4="Alle",$E$4="2026"))),"",SUMIFS('Leads Rohdaten'!$D$4:$D$503,'Leads Rohdaten'!$C$4:$C$503,Steuerung!$B$6,'Leads Rohdaten'!$A$4:$A$503,2026,'Leads Rohdaten'!$B$4:$B$503,"Februar"))</f>
        <v/>
      </c>
      <c r="N31" s="26" t="str">
        <f>IF(OR(Steuerung!$B$6="",NOT(OR($E$4="Alle",$E$4="2026"))),"",SUMIFS('Leads Rohdaten'!$E$4:$E$503,'Leads Rohdaten'!$C$4:$C$503,Steuerung!$B$6,'Leads Rohdaten'!$A$4:$A$503,2026,'Leads Rohdaten'!$B$4:$B$503,"Februar"))</f>
        <v/>
      </c>
      <c r="O31" s="27" t="str">
        <f t="shared" si="3"/>
        <v>–</v>
      </c>
      <c r="P31" s="28" t="str">
        <f ca="1">IF(Steuerung!$B$6="","",IF(EOMONTH(DATE(2026,MATCH("Februar",{"Januar","Februar","März","April","Mai","Juni","Juli","August","September","Oktober","November","Dezember"},0),1),0)&lt;=TODAY()-Steuerung!$C$27,"R","F"))</f>
        <v>R</v>
      </c>
    </row>
    <row r="32" spans="1:16" ht="15" customHeight="1" x14ac:dyDescent="0.25">
      <c r="A32" s="3" t="s">
        <v>51</v>
      </c>
      <c r="B32" s="4">
        <f>IF($E$4="Alle",COUNTIFS(Vertragseingänge!$A$4:$A$500,A32),COUNTIFS(Vertragseingänge!$A$4:$A$500,A32,Vertragseingänge!$C$4:$C$500,$E$4*1))</f>
        <v>4</v>
      </c>
      <c r="C32" s="5">
        <f>IFERROR(IF(Steuerung!$B$16="","",IF($E$4="Alle",IF(COUNTIFS(Vertragseingänge!$A$4:$A$500,A32,Vertragseingänge!$E$4:$E$500,Steuerung!$B$16)=0,"",COUNTIFS(Vertragseingänge!$A$4:$A$500,A32,Vertragseingänge!$E$4:$E$500,Steuerung!$B$16)),IF(COUNTIFS(Vertragseingänge!$A$4:$A$500,A32,Vertragseingänge!$E$4:$E$500,Steuerung!$B$16,Vertragseingänge!$C$4:$C$500,$E$4*1)=0,"",COUNTIFS(Vertragseingänge!$A$4:$A$500,A32,Vertragseingänge!$E$4:$E$500,Steuerung!$B$16,Vertragseingänge!$C$4:$C$500,$E$4*1)))),"")</f>
        <v>1</v>
      </c>
      <c r="D32" s="5" t="str">
        <f>IFERROR(IF(Steuerung!$B$17="","",IF($E$4="Alle",IF(COUNTIFS(Vertragseingänge!$A$4:$A$500,A32,Vertragseingänge!$E$4:$E$500,Steuerung!$B$17)=0,"",COUNTIFS(Vertragseingänge!$A$4:$A$500,A32,Vertragseingänge!$E$4:$E$500,Steuerung!$B$17)),IF(COUNTIFS(Vertragseingänge!$A$4:$A$500,A32,Vertragseingänge!$E$4:$E$500,Steuerung!$B$17,Vertragseingänge!$C$4:$C$500,$E$4*1)=0,"",COUNTIFS(Vertragseingänge!$A$4:$A$500,A32,Vertragseingänge!$E$4:$E$500,Steuerung!$B$17,Vertragseingänge!$C$4:$C$500,$E$4*1)))),"")</f>
        <v/>
      </c>
      <c r="E32" s="5" t="str">
        <f>IFERROR(IF(Steuerung!$B$18="","",IF($E$4="Alle",IF(COUNTIFS(Vertragseingänge!$A$4:$A$500,A32,Vertragseingänge!$E$4:$E$500,Steuerung!$B$18)=0,"",COUNTIFS(Vertragseingänge!$A$4:$A$500,A32,Vertragseingänge!$E$4:$E$500,Steuerung!$B$18)),IF(COUNTIFS(Vertragseingänge!$A$4:$A$500,A32,Vertragseingänge!$E$4:$E$500,Steuerung!$B$18,Vertragseingänge!$C$4:$C$500,$E$4*1)=0,"",COUNTIFS(Vertragseingänge!$A$4:$A$500,A32,Vertragseingänge!$E$4:$E$500,Steuerung!$B$18,Vertragseingänge!$C$4:$C$500,$E$4*1)))),"")</f>
        <v/>
      </c>
      <c r="F32" s="5">
        <f>IFERROR(IF(Steuerung!$B$19="","",IF($E$4="Alle",IF(COUNTIFS(Vertragseingänge!$A$4:$A$500,A32,Vertragseingänge!$E$4:$E$500,Steuerung!$B$19)=0,"",COUNTIFS(Vertragseingänge!$A$4:$A$500,A32,Vertragseingänge!$E$4:$E$500,Steuerung!$B$19)),IF(COUNTIFS(Vertragseingänge!$A$4:$A$500,A32,Vertragseingänge!$E$4:$E$500,Steuerung!$B$19,Vertragseingänge!$C$4:$C$500,$E$4*1)=0,"",COUNTIFS(Vertragseingänge!$A$4:$A$500,A32,Vertragseingänge!$E$4:$E$500,Steuerung!$B$19,Vertragseingänge!$C$4:$C$500,$E$4*1)))),"")</f>
        <v>3</v>
      </c>
      <c r="G32" s="5" t="str">
        <f>IFERROR(IF(Steuerung!$B$20="","",IF($E$4="Alle",IF(COUNTIFS(Vertragseingänge!$A$4:$A$500,A32,Vertragseingänge!$E$4:$E$500,Steuerung!$B$20)=0,"",COUNTIFS(Vertragseingänge!$A$4:$A$500,A32,Vertragseingänge!$E$4:$E$500,Steuerung!$B$20)),IF(COUNTIFS(Vertragseingänge!$A$4:$A$500,A32,Vertragseingänge!$E$4:$E$500,Steuerung!$B$20,Vertragseingänge!$C$4:$C$500,$E$4*1)=0,"",COUNTIFS(Vertragseingänge!$A$4:$A$500,A32,Vertragseingänge!$E$4:$E$500,Steuerung!$B$20,Vertragseingänge!$C$4:$C$500,$E$4*1)))),"")</f>
        <v/>
      </c>
      <c r="H32" s="5" t="str">
        <f>IFERROR(IF(Steuerung!$B$21="","",IF($E$4="Alle",IF(COUNTIFS(Vertragseingänge!$A$4:$A$500,A32,Vertragseingänge!$E$4:$E$500,Steuerung!$B$21)=0,"",COUNTIFS(Vertragseingänge!$A$4:$A$500,A32,Vertragseingänge!$E$4:$E$500,Steuerung!$B$21)),IF(COUNTIFS(Vertragseingänge!$A$4:$A$500,A32,Vertragseingänge!$E$4:$E$500,Steuerung!$B$21,Vertragseingänge!$C$4:$C$500,$E$4*1)=0,"",COUNTIFS(Vertragseingänge!$A$4:$A$500,A32,Vertragseingänge!$E$4:$E$500,Steuerung!$B$21,Vertragseingänge!$C$4:$C$500,$E$4*1)))),"")</f>
        <v/>
      </c>
      <c r="I32" s="5" t="str">
        <f>IFERROR(IF(Steuerung!$B$22="","",IF($E$4="Alle",IF(COUNTIFS(Vertragseingänge!$A$4:$A$500,A32,Vertragseingänge!$E$4:$E$500,Steuerung!$B$22)=0,"",COUNTIFS(Vertragseingänge!$A$4:$A$500,A32,Vertragseingänge!$E$4:$E$500,Steuerung!$B$22)),IF(COUNTIFS(Vertragseingänge!$A$4:$A$500,A32,Vertragseingänge!$E$4:$E$500,Steuerung!$B$22,Vertragseingänge!$C$4:$C$500,$E$4*1)=0,"",COUNTIFS(Vertragseingänge!$A$4:$A$500,A32,Vertragseingänge!$E$4:$E$500,Steuerung!$B$22,Vertragseingänge!$C$4:$C$500,$E$4*1)))),"")</f>
        <v/>
      </c>
      <c r="J32" s="5" t="str">
        <f t="shared" si="0"/>
        <v/>
      </c>
      <c r="L32" s="29" t="s">
        <v>52</v>
      </c>
      <c r="M32" s="30" t="str">
        <f>IF(OR(Steuerung!$B$6="",NOT(OR($E$4="Alle",$E$4="2026"))),"",SUMIFS('Leads Rohdaten'!$D$4:$D$503,'Leads Rohdaten'!$C$4:$C$503,Steuerung!$B$6,'Leads Rohdaten'!$A$4:$A$503,2026,'Leads Rohdaten'!$B$4:$B$503,"März"))</f>
        <v/>
      </c>
      <c r="N32" s="30" t="str">
        <f>IF(OR(Steuerung!$B$6="",NOT(OR($E$4="Alle",$E$4="2026"))),"",SUMIFS('Leads Rohdaten'!$E$4:$E$503,'Leads Rohdaten'!$C$4:$C$503,Steuerung!$B$6,'Leads Rohdaten'!$A$4:$A$503,2026,'Leads Rohdaten'!$B$4:$B$503,"März"))</f>
        <v/>
      </c>
      <c r="O32" s="31" t="str">
        <f t="shared" si="3"/>
        <v>–</v>
      </c>
      <c r="P32" s="32" t="str">
        <f ca="1">IF(Steuerung!$B$6="","",IF(EOMONTH(DATE(2026,MATCH("März",{"Januar","Februar","März","April","Mai","Juni","Juli","August","September","Oktober","November","Dezember"},0),1),0)&lt;=TODAY()-Steuerung!$C$27,"R","F"))</f>
        <v>R</v>
      </c>
    </row>
    <row r="33" spans="1:16" ht="15" customHeight="1" x14ac:dyDescent="0.25">
      <c r="A33" s="7" t="s">
        <v>53</v>
      </c>
      <c r="B33" s="8">
        <f>IF($E$4="Alle",COUNTIFS(Vertragseingänge!$A$4:$A$500,A33),COUNTIFS(Vertragseingänge!$A$4:$A$500,A33,Vertragseingänge!$C$4:$C$500,$E$4*1))</f>
        <v>8</v>
      </c>
      <c r="C33" s="9">
        <f>IFERROR(IF(Steuerung!$B$16="","",IF($E$4="Alle",IF(COUNTIFS(Vertragseingänge!$A$4:$A$500,A33,Vertragseingänge!$E$4:$E$500,Steuerung!$B$16)=0,"",COUNTIFS(Vertragseingänge!$A$4:$A$500,A33,Vertragseingänge!$E$4:$E$500,Steuerung!$B$16)),IF(COUNTIFS(Vertragseingänge!$A$4:$A$500,A33,Vertragseingänge!$E$4:$E$500,Steuerung!$B$16,Vertragseingänge!$C$4:$C$500,$E$4*1)=0,"",COUNTIFS(Vertragseingänge!$A$4:$A$500,A33,Vertragseingänge!$E$4:$E$500,Steuerung!$B$16,Vertragseingänge!$C$4:$C$500,$E$4*1)))),"")</f>
        <v>2</v>
      </c>
      <c r="D33" s="9">
        <f>IFERROR(IF(Steuerung!$B$17="","",IF($E$4="Alle",IF(COUNTIFS(Vertragseingänge!$A$4:$A$500,A33,Vertragseingänge!$E$4:$E$500,Steuerung!$B$17)=0,"",COUNTIFS(Vertragseingänge!$A$4:$A$500,A33,Vertragseingänge!$E$4:$E$500,Steuerung!$B$17)),IF(COUNTIFS(Vertragseingänge!$A$4:$A$500,A33,Vertragseingänge!$E$4:$E$500,Steuerung!$B$17,Vertragseingänge!$C$4:$C$500,$E$4*1)=0,"",COUNTIFS(Vertragseingänge!$A$4:$A$500,A33,Vertragseingänge!$E$4:$E$500,Steuerung!$B$17,Vertragseingänge!$C$4:$C$500,$E$4*1)))),"")</f>
        <v>1</v>
      </c>
      <c r="E33" s="9" t="str">
        <f>IFERROR(IF(Steuerung!$B$18="","",IF($E$4="Alle",IF(COUNTIFS(Vertragseingänge!$A$4:$A$500,A33,Vertragseingänge!$E$4:$E$500,Steuerung!$B$18)=0,"",COUNTIFS(Vertragseingänge!$A$4:$A$500,A33,Vertragseingänge!$E$4:$E$500,Steuerung!$B$18)),IF(COUNTIFS(Vertragseingänge!$A$4:$A$500,A33,Vertragseingänge!$E$4:$E$500,Steuerung!$B$18,Vertragseingänge!$C$4:$C$500,$E$4*1)=0,"",COUNTIFS(Vertragseingänge!$A$4:$A$500,A33,Vertragseingänge!$E$4:$E$500,Steuerung!$B$18,Vertragseingänge!$C$4:$C$500,$E$4*1)))),"")</f>
        <v/>
      </c>
      <c r="F33" s="9">
        <f>IFERROR(IF(Steuerung!$B$19="","",IF($E$4="Alle",IF(COUNTIFS(Vertragseingänge!$A$4:$A$500,A33,Vertragseingänge!$E$4:$E$500,Steuerung!$B$19)=0,"",COUNTIFS(Vertragseingänge!$A$4:$A$500,A33,Vertragseingänge!$E$4:$E$500,Steuerung!$B$19)),IF(COUNTIFS(Vertragseingänge!$A$4:$A$500,A33,Vertragseingänge!$E$4:$E$500,Steuerung!$B$19,Vertragseingänge!$C$4:$C$500,$E$4*1)=0,"",COUNTIFS(Vertragseingänge!$A$4:$A$500,A33,Vertragseingänge!$E$4:$E$500,Steuerung!$B$19,Vertragseingänge!$C$4:$C$500,$E$4*1)))),"")</f>
        <v>4</v>
      </c>
      <c r="G33" s="9" t="str">
        <f>IFERROR(IF(Steuerung!$B$20="","",IF($E$4="Alle",IF(COUNTIFS(Vertragseingänge!$A$4:$A$500,A33,Vertragseingänge!$E$4:$E$500,Steuerung!$B$20)=0,"",COUNTIFS(Vertragseingänge!$A$4:$A$500,A33,Vertragseingänge!$E$4:$E$500,Steuerung!$B$20)),IF(COUNTIFS(Vertragseingänge!$A$4:$A$500,A33,Vertragseingänge!$E$4:$E$500,Steuerung!$B$20,Vertragseingänge!$C$4:$C$500,$E$4*1)=0,"",COUNTIFS(Vertragseingänge!$A$4:$A$500,A33,Vertragseingänge!$E$4:$E$500,Steuerung!$B$20,Vertragseingänge!$C$4:$C$500,$E$4*1)))),"")</f>
        <v/>
      </c>
      <c r="H33" s="9" t="str">
        <f>IFERROR(IF(Steuerung!$B$21="","",IF($E$4="Alle",IF(COUNTIFS(Vertragseingänge!$A$4:$A$500,A33,Vertragseingänge!$E$4:$E$500,Steuerung!$B$21)=0,"",COUNTIFS(Vertragseingänge!$A$4:$A$500,A33,Vertragseingänge!$E$4:$E$500,Steuerung!$B$21)),IF(COUNTIFS(Vertragseingänge!$A$4:$A$500,A33,Vertragseingänge!$E$4:$E$500,Steuerung!$B$21,Vertragseingänge!$C$4:$C$500,$E$4*1)=0,"",COUNTIFS(Vertragseingänge!$A$4:$A$500,A33,Vertragseingänge!$E$4:$E$500,Steuerung!$B$21,Vertragseingänge!$C$4:$C$500,$E$4*1)))),"")</f>
        <v/>
      </c>
      <c r="I33" s="9" t="str">
        <f>IFERROR(IF(Steuerung!$B$22="","",IF($E$4="Alle",IF(COUNTIFS(Vertragseingänge!$A$4:$A$500,A33,Vertragseingänge!$E$4:$E$500,Steuerung!$B$22)=0,"",COUNTIFS(Vertragseingänge!$A$4:$A$500,A33,Vertragseingänge!$E$4:$E$500,Steuerung!$B$22)),IF(COUNTIFS(Vertragseingänge!$A$4:$A$500,A33,Vertragseingänge!$E$4:$E$500,Steuerung!$B$22,Vertragseingänge!$C$4:$C$500,$E$4*1)=0,"",COUNTIFS(Vertragseingänge!$A$4:$A$500,A33,Vertragseingänge!$E$4:$E$500,Steuerung!$B$22,Vertragseingänge!$C$4:$C$500,$E$4*1)))),"")</f>
        <v/>
      </c>
      <c r="J33" s="9">
        <f t="shared" si="0"/>
        <v>1</v>
      </c>
      <c r="L33" s="25" t="s">
        <v>54</v>
      </c>
      <c r="M33" s="26" t="str">
        <f>IF(OR(Steuerung!$B$6="",NOT(OR($E$4="Alle",$E$4="2026"))),"",SUMIFS('Leads Rohdaten'!$D$4:$D$503,'Leads Rohdaten'!$C$4:$C$503,Steuerung!$B$6,'Leads Rohdaten'!$A$4:$A$503,2026,'Leads Rohdaten'!$B$4:$B$503,"April"))</f>
        <v/>
      </c>
      <c r="N33" s="26" t="str">
        <f>IF(OR(Steuerung!$B$6="",NOT(OR($E$4="Alle",$E$4="2026"))),"",SUMIFS('Leads Rohdaten'!$E$4:$E$503,'Leads Rohdaten'!$C$4:$C$503,Steuerung!$B$6,'Leads Rohdaten'!$A$4:$A$503,2026,'Leads Rohdaten'!$B$4:$B$503,"April"))</f>
        <v/>
      </c>
      <c r="O33" s="27" t="str">
        <f t="shared" si="3"/>
        <v>–</v>
      </c>
      <c r="P33" s="28" t="str">
        <f ca="1">IF(Steuerung!$B$6="","",IF(EOMONTH(DATE(2026,MATCH("April",{"Januar","Februar","März","April","Mai","Juni","Juli","August","September","Oktober","November","Dezember"},0),1),0)&lt;=TODAY()-Steuerung!$C$27,"R","F"))</f>
        <v>F</v>
      </c>
    </row>
    <row r="34" spans="1:16" ht="15" customHeight="1" x14ac:dyDescent="0.25">
      <c r="A34" s="3" t="s">
        <v>55</v>
      </c>
      <c r="B34" s="4">
        <f>IF($E$4="Alle",COUNTIFS(Vertragseingänge!$A$4:$A$500,A34),COUNTIFS(Vertragseingänge!$A$4:$A$500,A34,Vertragseingänge!$C$4:$C$500,$E$4*1))</f>
        <v>0</v>
      </c>
      <c r="C34" s="5" t="str">
        <f>IFERROR(IF(Steuerung!$B$16="","",IF($E$4="Alle",IF(COUNTIFS(Vertragseingänge!$A$4:$A$500,A34,Vertragseingänge!$E$4:$E$500,Steuerung!$B$16)=0,"",COUNTIFS(Vertragseingänge!$A$4:$A$500,A34,Vertragseingänge!$E$4:$E$500,Steuerung!$B$16)),IF(COUNTIFS(Vertragseingänge!$A$4:$A$500,A34,Vertragseingänge!$E$4:$E$500,Steuerung!$B$16,Vertragseingänge!$C$4:$C$500,$E$4*1)=0,"",COUNTIFS(Vertragseingänge!$A$4:$A$500,A34,Vertragseingänge!$E$4:$E$500,Steuerung!$B$16,Vertragseingänge!$C$4:$C$500,$E$4*1)))),"")</f>
        <v/>
      </c>
      <c r="D34" s="5" t="str">
        <f>IFERROR(IF(Steuerung!$B$17="","",IF($E$4="Alle",IF(COUNTIFS(Vertragseingänge!$A$4:$A$500,A34,Vertragseingänge!$E$4:$E$500,Steuerung!$B$17)=0,"",COUNTIFS(Vertragseingänge!$A$4:$A$500,A34,Vertragseingänge!$E$4:$E$500,Steuerung!$B$17)),IF(COUNTIFS(Vertragseingänge!$A$4:$A$500,A34,Vertragseingänge!$E$4:$E$500,Steuerung!$B$17,Vertragseingänge!$C$4:$C$500,$E$4*1)=0,"",COUNTIFS(Vertragseingänge!$A$4:$A$500,A34,Vertragseingänge!$E$4:$E$500,Steuerung!$B$17,Vertragseingänge!$C$4:$C$500,$E$4*1)))),"")</f>
        <v/>
      </c>
      <c r="E34" s="5" t="str">
        <f>IFERROR(IF(Steuerung!$B$18="","",IF($E$4="Alle",IF(COUNTIFS(Vertragseingänge!$A$4:$A$500,A34,Vertragseingänge!$E$4:$E$500,Steuerung!$B$18)=0,"",COUNTIFS(Vertragseingänge!$A$4:$A$500,A34,Vertragseingänge!$E$4:$E$500,Steuerung!$B$18)),IF(COUNTIFS(Vertragseingänge!$A$4:$A$500,A34,Vertragseingänge!$E$4:$E$500,Steuerung!$B$18,Vertragseingänge!$C$4:$C$500,$E$4*1)=0,"",COUNTIFS(Vertragseingänge!$A$4:$A$500,A34,Vertragseingänge!$E$4:$E$500,Steuerung!$B$18,Vertragseingänge!$C$4:$C$500,$E$4*1)))),"")</f>
        <v/>
      </c>
      <c r="F34" s="5" t="str">
        <f>IFERROR(IF(Steuerung!$B$19="","",IF($E$4="Alle",IF(COUNTIFS(Vertragseingänge!$A$4:$A$500,A34,Vertragseingänge!$E$4:$E$500,Steuerung!$B$19)=0,"",COUNTIFS(Vertragseingänge!$A$4:$A$500,A34,Vertragseingänge!$E$4:$E$500,Steuerung!$B$19)),IF(COUNTIFS(Vertragseingänge!$A$4:$A$500,A34,Vertragseingänge!$E$4:$E$500,Steuerung!$B$19,Vertragseingänge!$C$4:$C$500,$E$4*1)=0,"",COUNTIFS(Vertragseingänge!$A$4:$A$500,A34,Vertragseingänge!$E$4:$E$500,Steuerung!$B$19,Vertragseingänge!$C$4:$C$500,$E$4*1)))),"")</f>
        <v/>
      </c>
      <c r="G34" s="5" t="str">
        <f>IFERROR(IF(Steuerung!$B$20="","",IF($E$4="Alle",IF(COUNTIFS(Vertragseingänge!$A$4:$A$500,A34,Vertragseingänge!$E$4:$E$500,Steuerung!$B$20)=0,"",COUNTIFS(Vertragseingänge!$A$4:$A$500,A34,Vertragseingänge!$E$4:$E$500,Steuerung!$B$20)),IF(COUNTIFS(Vertragseingänge!$A$4:$A$500,A34,Vertragseingänge!$E$4:$E$500,Steuerung!$B$20,Vertragseingänge!$C$4:$C$500,$E$4*1)=0,"",COUNTIFS(Vertragseingänge!$A$4:$A$500,A34,Vertragseingänge!$E$4:$E$500,Steuerung!$B$20,Vertragseingänge!$C$4:$C$500,$E$4*1)))),"")</f>
        <v/>
      </c>
      <c r="H34" s="5" t="str">
        <f>IFERROR(IF(Steuerung!$B$21="","",IF($E$4="Alle",IF(COUNTIFS(Vertragseingänge!$A$4:$A$500,A34,Vertragseingänge!$E$4:$E$500,Steuerung!$B$21)=0,"",COUNTIFS(Vertragseingänge!$A$4:$A$500,A34,Vertragseingänge!$E$4:$E$500,Steuerung!$B$21)),IF(COUNTIFS(Vertragseingänge!$A$4:$A$500,A34,Vertragseingänge!$E$4:$E$500,Steuerung!$B$21,Vertragseingänge!$C$4:$C$500,$E$4*1)=0,"",COUNTIFS(Vertragseingänge!$A$4:$A$500,A34,Vertragseingänge!$E$4:$E$500,Steuerung!$B$21,Vertragseingänge!$C$4:$C$500,$E$4*1)))),"")</f>
        <v/>
      </c>
      <c r="I34" s="5" t="str">
        <f>IFERROR(IF(Steuerung!$B$22="","",IF($E$4="Alle",IF(COUNTIFS(Vertragseingänge!$A$4:$A$500,A34,Vertragseingänge!$E$4:$E$500,Steuerung!$B$22)=0,"",COUNTIFS(Vertragseingänge!$A$4:$A$500,A34,Vertragseingänge!$E$4:$E$500,Steuerung!$B$22)),IF(COUNTIFS(Vertragseingänge!$A$4:$A$500,A34,Vertragseingänge!$E$4:$E$500,Steuerung!$B$22,Vertragseingänge!$C$4:$C$500,$E$4*1)=0,"",COUNTIFS(Vertragseingänge!$A$4:$A$500,A34,Vertragseingänge!$E$4:$E$500,Steuerung!$B$22,Vertragseingänge!$C$4:$C$500,$E$4*1)))),"")</f>
        <v/>
      </c>
      <c r="J34" s="5" t="str">
        <f t="shared" si="0"/>
        <v/>
      </c>
      <c r="L34" s="29" t="s">
        <v>56</v>
      </c>
      <c r="M34" s="30" t="str">
        <f>IF(OR(Steuerung!$B$6="",NOT(OR($E$4="Alle",$E$4="2026"))),"",SUMIFS('Leads Rohdaten'!$D$4:$D$503,'Leads Rohdaten'!$C$4:$C$503,Steuerung!$B$6,'Leads Rohdaten'!$A$4:$A$503,2026,'Leads Rohdaten'!$B$4:$B$503,"Mai"))</f>
        <v/>
      </c>
      <c r="N34" s="30" t="str">
        <f>IF(OR(Steuerung!$B$6="",NOT(OR($E$4="Alle",$E$4="2026"))),"",SUMIFS('Leads Rohdaten'!$E$4:$E$503,'Leads Rohdaten'!$C$4:$C$503,Steuerung!$B$6,'Leads Rohdaten'!$A$4:$A$503,2026,'Leads Rohdaten'!$B$4:$B$503,"Mai"))</f>
        <v/>
      </c>
      <c r="O34" s="31" t="str">
        <f t="shared" si="3"/>
        <v>–</v>
      </c>
      <c r="P34" s="32" t="str">
        <f ca="1">IF(Steuerung!$B$6="","",IF(EOMONTH(DATE(2026,MATCH("Mai",{"Januar","Februar","März","April","Mai","Juni","Juli","August","September","Oktober","November","Dezember"},0),1),0)&lt;=TODAY()-Steuerung!$C$27,"R","F"))</f>
        <v>F</v>
      </c>
    </row>
    <row r="35" spans="1:16" ht="15" customHeight="1" x14ac:dyDescent="0.25">
      <c r="A35" s="7" t="s">
        <v>57</v>
      </c>
      <c r="B35" s="8">
        <f>IF($E$4="Alle",COUNTIFS(Vertragseingänge!$A$4:$A$500,A35),COUNTIFS(Vertragseingänge!$A$4:$A$500,A35,Vertragseingänge!$C$4:$C$500,$E$4*1))</f>
        <v>0</v>
      </c>
      <c r="C35" s="9" t="str">
        <f>IFERROR(IF(Steuerung!$B$16="","",IF($E$4="Alle",IF(COUNTIFS(Vertragseingänge!$A$4:$A$500,A35,Vertragseingänge!$E$4:$E$500,Steuerung!$B$16)=0,"",COUNTIFS(Vertragseingänge!$A$4:$A$500,A35,Vertragseingänge!$E$4:$E$500,Steuerung!$B$16)),IF(COUNTIFS(Vertragseingänge!$A$4:$A$500,A35,Vertragseingänge!$E$4:$E$500,Steuerung!$B$16,Vertragseingänge!$C$4:$C$500,$E$4*1)=0,"",COUNTIFS(Vertragseingänge!$A$4:$A$500,A35,Vertragseingänge!$E$4:$E$500,Steuerung!$B$16,Vertragseingänge!$C$4:$C$500,$E$4*1)))),"")</f>
        <v/>
      </c>
      <c r="D35" s="9" t="str">
        <f>IFERROR(IF(Steuerung!$B$17="","",IF($E$4="Alle",IF(COUNTIFS(Vertragseingänge!$A$4:$A$500,A35,Vertragseingänge!$E$4:$E$500,Steuerung!$B$17)=0,"",COUNTIFS(Vertragseingänge!$A$4:$A$500,A35,Vertragseingänge!$E$4:$E$500,Steuerung!$B$17)),IF(COUNTIFS(Vertragseingänge!$A$4:$A$500,A35,Vertragseingänge!$E$4:$E$500,Steuerung!$B$17,Vertragseingänge!$C$4:$C$500,$E$4*1)=0,"",COUNTIFS(Vertragseingänge!$A$4:$A$500,A35,Vertragseingänge!$E$4:$E$500,Steuerung!$B$17,Vertragseingänge!$C$4:$C$500,$E$4*1)))),"")</f>
        <v/>
      </c>
      <c r="E35" s="9" t="str">
        <f>IFERROR(IF(Steuerung!$B$18="","",IF($E$4="Alle",IF(COUNTIFS(Vertragseingänge!$A$4:$A$500,A35,Vertragseingänge!$E$4:$E$500,Steuerung!$B$18)=0,"",COUNTIFS(Vertragseingänge!$A$4:$A$500,A35,Vertragseingänge!$E$4:$E$500,Steuerung!$B$18)),IF(COUNTIFS(Vertragseingänge!$A$4:$A$500,A35,Vertragseingänge!$E$4:$E$500,Steuerung!$B$18,Vertragseingänge!$C$4:$C$500,$E$4*1)=0,"",COUNTIFS(Vertragseingänge!$A$4:$A$500,A35,Vertragseingänge!$E$4:$E$500,Steuerung!$B$18,Vertragseingänge!$C$4:$C$500,$E$4*1)))),"")</f>
        <v/>
      </c>
      <c r="F35" s="9" t="str">
        <f>IFERROR(IF(Steuerung!$B$19="","",IF($E$4="Alle",IF(COUNTIFS(Vertragseingänge!$A$4:$A$500,A35,Vertragseingänge!$E$4:$E$500,Steuerung!$B$19)=0,"",COUNTIFS(Vertragseingänge!$A$4:$A$500,A35,Vertragseingänge!$E$4:$E$500,Steuerung!$B$19)),IF(COUNTIFS(Vertragseingänge!$A$4:$A$500,A35,Vertragseingänge!$E$4:$E$500,Steuerung!$B$19,Vertragseingänge!$C$4:$C$500,$E$4*1)=0,"",COUNTIFS(Vertragseingänge!$A$4:$A$500,A35,Vertragseingänge!$E$4:$E$500,Steuerung!$B$19,Vertragseingänge!$C$4:$C$500,$E$4*1)))),"")</f>
        <v/>
      </c>
      <c r="G35" s="9" t="str">
        <f>IFERROR(IF(Steuerung!$B$20="","",IF($E$4="Alle",IF(COUNTIFS(Vertragseingänge!$A$4:$A$500,A35,Vertragseingänge!$E$4:$E$500,Steuerung!$B$20)=0,"",COUNTIFS(Vertragseingänge!$A$4:$A$500,A35,Vertragseingänge!$E$4:$E$500,Steuerung!$B$20)),IF(COUNTIFS(Vertragseingänge!$A$4:$A$500,A35,Vertragseingänge!$E$4:$E$500,Steuerung!$B$20,Vertragseingänge!$C$4:$C$500,$E$4*1)=0,"",COUNTIFS(Vertragseingänge!$A$4:$A$500,A35,Vertragseingänge!$E$4:$E$500,Steuerung!$B$20,Vertragseingänge!$C$4:$C$500,$E$4*1)))),"")</f>
        <v/>
      </c>
      <c r="H35" s="9" t="str">
        <f>IFERROR(IF(Steuerung!$B$21="","",IF($E$4="Alle",IF(COUNTIFS(Vertragseingänge!$A$4:$A$500,A35,Vertragseingänge!$E$4:$E$500,Steuerung!$B$21)=0,"",COUNTIFS(Vertragseingänge!$A$4:$A$500,A35,Vertragseingänge!$E$4:$E$500,Steuerung!$B$21)),IF(COUNTIFS(Vertragseingänge!$A$4:$A$500,A35,Vertragseingänge!$E$4:$E$500,Steuerung!$B$21,Vertragseingänge!$C$4:$C$500,$E$4*1)=0,"",COUNTIFS(Vertragseingänge!$A$4:$A$500,A35,Vertragseingänge!$E$4:$E$500,Steuerung!$B$21,Vertragseingänge!$C$4:$C$500,$E$4*1)))),"")</f>
        <v/>
      </c>
      <c r="I35" s="9" t="str">
        <f>IFERROR(IF(Steuerung!$B$22="","",IF($E$4="Alle",IF(COUNTIFS(Vertragseingänge!$A$4:$A$500,A35,Vertragseingänge!$E$4:$E$500,Steuerung!$B$22)=0,"",COUNTIFS(Vertragseingänge!$A$4:$A$500,A35,Vertragseingänge!$E$4:$E$500,Steuerung!$B$22)),IF(COUNTIFS(Vertragseingänge!$A$4:$A$500,A35,Vertragseingänge!$E$4:$E$500,Steuerung!$B$22,Vertragseingänge!$C$4:$C$500,$E$4*1)=0,"",COUNTIFS(Vertragseingänge!$A$4:$A$500,A35,Vertragseingänge!$E$4:$E$500,Steuerung!$B$22,Vertragseingänge!$C$4:$C$500,$E$4*1)))),"")</f>
        <v/>
      </c>
      <c r="J35" s="9" t="str">
        <f t="shared" si="0"/>
        <v/>
      </c>
      <c r="L35" s="25" t="s">
        <v>58</v>
      </c>
      <c r="M35" s="26" t="str">
        <f>IF(OR(Steuerung!$B$6="",NOT(OR($E$4="Alle",$E$4="2026"))),"",SUMIFS('Leads Rohdaten'!$D$4:$D$503,'Leads Rohdaten'!$C$4:$C$503,Steuerung!$B$6,'Leads Rohdaten'!$A$4:$A$503,2026,'Leads Rohdaten'!$B$4:$B$503,"Juni"))</f>
        <v/>
      </c>
      <c r="N35" s="26" t="str">
        <f>IF(OR(Steuerung!$B$6="",NOT(OR($E$4="Alle",$E$4="2026"))),"",SUMIFS('Leads Rohdaten'!$E$4:$E$503,'Leads Rohdaten'!$C$4:$C$503,Steuerung!$B$6,'Leads Rohdaten'!$A$4:$A$503,2026,'Leads Rohdaten'!$B$4:$B$503,"Juni"))</f>
        <v/>
      </c>
      <c r="O35" s="27" t="str">
        <f t="shared" si="3"/>
        <v>–</v>
      </c>
      <c r="P35" s="28" t="str">
        <f ca="1">IF(Steuerung!$B$6="","",IF(EOMONTH(DATE(2026,MATCH("Juni",{"Januar","Februar","März","April","Mai","Juni","Juli","August","September","Oktober","November","Dezember"},0),1),0)&lt;=TODAY()-Steuerung!$C$27,"R","F"))</f>
        <v>F</v>
      </c>
    </row>
    <row r="36" spans="1:16" ht="15" customHeight="1" x14ac:dyDescent="0.25">
      <c r="A36" s="3" t="s">
        <v>59</v>
      </c>
      <c r="B36" s="4">
        <f>IF($E$4="Alle",COUNTIFS(Vertragseingänge!$A$4:$A$500,A36),COUNTIFS(Vertragseingänge!$A$4:$A$500,A36,Vertragseingänge!$C$4:$C$500,$E$4*1))</f>
        <v>0</v>
      </c>
      <c r="C36" s="5" t="str">
        <f>IFERROR(IF(Steuerung!$B$16="","",IF($E$4="Alle",IF(COUNTIFS(Vertragseingänge!$A$4:$A$500,A36,Vertragseingänge!$E$4:$E$500,Steuerung!$B$16)=0,"",COUNTIFS(Vertragseingänge!$A$4:$A$500,A36,Vertragseingänge!$E$4:$E$500,Steuerung!$B$16)),IF(COUNTIFS(Vertragseingänge!$A$4:$A$500,A36,Vertragseingänge!$E$4:$E$500,Steuerung!$B$16,Vertragseingänge!$C$4:$C$500,$E$4*1)=0,"",COUNTIFS(Vertragseingänge!$A$4:$A$500,A36,Vertragseingänge!$E$4:$E$500,Steuerung!$B$16,Vertragseingänge!$C$4:$C$500,$E$4*1)))),"")</f>
        <v/>
      </c>
      <c r="D36" s="5" t="str">
        <f>IFERROR(IF(Steuerung!$B$17="","",IF($E$4="Alle",IF(COUNTIFS(Vertragseingänge!$A$4:$A$500,A36,Vertragseingänge!$E$4:$E$500,Steuerung!$B$17)=0,"",COUNTIFS(Vertragseingänge!$A$4:$A$500,A36,Vertragseingänge!$E$4:$E$500,Steuerung!$B$17)),IF(COUNTIFS(Vertragseingänge!$A$4:$A$500,A36,Vertragseingänge!$E$4:$E$500,Steuerung!$B$17,Vertragseingänge!$C$4:$C$500,$E$4*1)=0,"",COUNTIFS(Vertragseingänge!$A$4:$A$500,A36,Vertragseingänge!$E$4:$E$500,Steuerung!$B$17,Vertragseingänge!$C$4:$C$500,$E$4*1)))),"")</f>
        <v/>
      </c>
      <c r="E36" s="5" t="str">
        <f>IFERROR(IF(Steuerung!$B$18="","",IF($E$4="Alle",IF(COUNTIFS(Vertragseingänge!$A$4:$A$500,A36,Vertragseingänge!$E$4:$E$500,Steuerung!$B$18)=0,"",COUNTIFS(Vertragseingänge!$A$4:$A$500,A36,Vertragseingänge!$E$4:$E$500,Steuerung!$B$18)),IF(COUNTIFS(Vertragseingänge!$A$4:$A$500,A36,Vertragseingänge!$E$4:$E$500,Steuerung!$B$18,Vertragseingänge!$C$4:$C$500,$E$4*1)=0,"",COUNTIFS(Vertragseingänge!$A$4:$A$500,A36,Vertragseingänge!$E$4:$E$500,Steuerung!$B$18,Vertragseingänge!$C$4:$C$500,$E$4*1)))),"")</f>
        <v/>
      </c>
      <c r="F36" s="5" t="str">
        <f>IFERROR(IF(Steuerung!$B$19="","",IF($E$4="Alle",IF(COUNTIFS(Vertragseingänge!$A$4:$A$500,A36,Vertragseingänge!$E$4:$E$500,Steuerung!$B$19)=0,"",COUNTIFS(Vertragseingänge!$A$4:$A$500,A36,Vertragseingänge!$E$4:$E$500,Steuerung!$B$19)),IF(COUNTIFS(Vertragseingänge!$A$4:$A$500,A36,Vertragseingänge!$E$4:$E$500,Steuerung!$B$19,Vertragseingänge!$C$4:$C$500,$E$4*1)=0,"",COUNTIFS(Vertragseingänge!$A$4:$A$500,A36,Vertragseingänge!$E$4:$E$500,Steuerung!$B$19,Vertragseingänge!$C$4:$C$500,$E$4*1)))),"")</f>
        <v/>
      </c>
      <c r="G36" s="5" t="str">
        <f>IFERROR(IF(Steuerung!$B$20="","",IF($E$4="Alle",IF(COUNTIFS(Vertragseingänge!$A$4:$A$500,A36,Vertragseingänge!$E$4:$E$500,Steuerung!$B$20)=0,"",COUNTIFS(Vertragseingänge!$A$4:$A$500,A36,Vertragseingänge!$E$4:$E$500,Steuerung!$B$20)),IF(COUNTIFS(Vertragseingänge!$A$4:$A$500,A36,Vertragseingänge!$E$4:$E$500,Steuerung!$B$20,Vertragseingänge!$C$4:$C$500,$E$4*1)=0,"",COUNTIFS(Vertragseingänge!$A$4:$A$500,A36,Vertragseingänge!$E$4:$E$500,Steuerung!$B$20,Vertragseingänge!$C$4:$C$500,$E$4*1)))),"")</f>
        <v/>
      </c>
      <c r="H36" s="5" t="str">
        <f>IFERROR(IF(Steuerung!$B$21="","",IF($E$4="Alle",IF(COUNTIFS(Vertragseingänge!$A$4:$A$500,A36,Vertragseingänge!$E$4:$E$500,Steuerung!$B$21)=0,"",COUNTIFS(Vertragseingänge!$A$4:$A$500,A36,Vertragseingänge!$E$4:$E$500,Steuerung!$B$21)),IF(COUNTIFS(Vertragseingänge!$A$4:$A$500,A36,Vertragseingänge!$E$4:$E$500,Steuerung!$B$21,Vertragseingänge!$C$4:$C$500,$E$4*1)=0,"",COUNTIFS(Vertragseingänge!$A$4:$A$500,A36,Vertragseingänge!$E$4:$E$500,Steuerung!$B$21,Vertragseingänge!$C$4:$C$500,$E$4*1)))),"")</f>
        <v/>
      </c>
      <c r="I36" s="5" t="str">
        <f>IFERROR(IF(Steuerung!$B$22="","",IF($E$4="Alle",IF(COUNTIFS(Vertragseingänge!$A$4:$A$500,A36,Vertragseingänge!$E$4:$E$500,Steuerung!$B$22)=0,"",COUNTIFS(Vertragseingänge!$A$4:$A$500,A36,Vertragseingänge!$E$4:$E$500,Steuerung!$B$22)),IF(COUNTIFS(Vertragseingänge!$A$4:$A$500,A36,Vertragseingänge!$E$4:$E$500,Steuerung!$B$22,Vertragseingänge!$C$4:$C$500,$E$4*1)=0,"",COUNTIFS(Vertragseingänge!$A$4:$A$500,A36,Vertragseingänge!$E$4:$E$500,Steuerung!$B$22,Vertragseingänge!$C$4:$C$500,$E$4*1)))),"")</f>
        <v/>
      </c>
      <c r="J36" s="5" t="str">
        <f t="shared" si="0"/>
        <v/>
      </c>
    </row>
    <row r="37" spans="1:16" ht="15" customHeight="1" x14ac:dyDescent="0.25">
      <c r="A37" s="33" t="s">
        <v>60</v>
      </c>
      <c r="B37" s="34">
        <f t="shared" ref="B37:I37" si="4">SUM(B6:B36)</f>
        <v>174</v>
      </c>
      <c r="C37" s="34">
        <f t="shared" si="4"/>
        <v>69</v>
      </c>
      <c r="D37" s="34">
        <f t="shared" si="4"/>
        <v>42</v>
      </c>
      <c r="E37" s="34">
        <f t="shared" si="4"/>
        <v>18</v>
      </c>
      <c r="F37" s="34">
        <f t="shared" si="4"/>
        <v>15</v>
      </c>
      <c r="G37" s="34">
        <f t="shared" si="4"/>
        <v>2</v>
      </c>
      <c r="H37" s="34">
        <f t="shared" si="4"/>
        <v>2</v>
      </c>
      <c r="I37" s="34">
        <f t="shared" si="4"/>
        <v>2</v>
      </c>
      <c r="J37" s="34">
        <f>B37-SUM(C37:I37)</f>
        <v>24</v>
      </c>
      <c r="L37" s="112" t="str">
        <f>IF(Steuerung!B7="","  (leerer Slot)","  "&amp;Steuerung!C7)</f>
        <v xml:space="preserve">  Gabriella</v>
      </c>
      <c r="M37" s="112"/>
      <c r="N37" s="112"/>
      <c r="O37" s="112"/>
      <c r="P37" s="112"/>
    </row>
    <row r="38" spans="1:16" ht="15" customHeight="1" x14ac:dyDescent="0.25">
      <c r="L38" s="29" t="s">
        <v>42</v>
      </c>
      <c r="M38" s="30" t="str">
        <f>IF(OR(Steuerung!$B$7="",NOT(OR($E$4="Alle",$E$4="2025"))),"",SUMIFS('Leads Rohdaten'!$D$4:$D$503,'Leads Rohdaten'!$C$4:$C$503,Steuerung!$B$7,'Leads Rohdaten'!$A$4:$A$503,2025,'Leads Rohdaten'!$B$4:$B$503,"Oktober"))</f>
        <v/>
      </c>
      <c r="N38" s="30" t="str">
        <f>IF(OR(Steuerung!$B$7="",NOT(OR($E$4="Alle",$E$4="2025"))),"",SUMIFS('Leads Rohdaten'!$E$4:$E$503,'Leads Rohdaten'!$C$4:$C$503,Steuerung!$B$7,'Leads Rohdaten'!$A$4:$A$503,2025,'Leads Rohdaten'!$B$4:$B$503,"Oktober"))</f>
        <v/>
      </c>
      <c r="O38" s="31" t="str">
        <f t="shared" ref="O38:O46" si="5">IF(OR(M38="",M38=0),"–",N38/M38)</f>
        <v>–</v>
      </c>
      <c r="P38" s="32" t="str">
        <f ca="1">IF(Steuerung!$B$7="","",IF(EOMONTH(DATE(2025,MATCH("Oktober",{"Januar","Februar","März","April","Mai","Juni","Juli","August","September","Oktober","November","Dezember"},0),1),0)&lt;=TODAY()-Steuerung!$C$27,"R","F"))</f>
        <v>R</v>
      </c>
    </row>
    <row r="39" spans="1:16" ht="15" customHeight="1" x14ac:dyDescent="0.25">
      <c r="L39" s="25" t="s">
        <v>44</v>
      </c>
      <c r="M39" s="26" t="str">
        <f>IF(OR(Steuerung!$B$7="",NOT(OR($E$4="Alle",$E$4="2025"))),"",SUMIFS('Leads Rohdaten'!$D$4:$D$503,'Leads Rohdaten'!$C$4:$C$503,Steuerung!$B$7,'Leads Rohdaten'!$A$4:$A$503,2025,'Leads Rohdaten'!$B$4:$B$503,"November"))</f>
        <v/>
      </c>
      <c r="N39" s="26" t="str">
        <f>IF(OR(Steuerung!$B$7="",NOT(OR($E$4="Alle",$E$4="2025"))),"",SUMIFS('Leads Rohdaten'!$E$4:$E$503,'Leads Rohdaten'!$C$4:$C$503,Steuerung!$B$7,'Leads Rohdaten'!$A$4:$A$503,2025,'Leads Rohdaten'!$B$4:$B$503,"November"))</f>
        <v/>
      </c>
      <c r="O39" s="27" t="str">
        <f t="shared" si="5"/>
        <v>–</v>
      </c>
      <c r="P39" s="28" t="str">
        <f ca="1">IF(Steuerung!$B$7="","",IF(EOMONTH(DATE(2025,MATCH("November",{"Januar","Februar","März","April","Mai","Juni","Juli","August","September","Oktober","November","Dezember"},0),1),0)&lt;=TODAY()-Steuerung!$C$27,"R","F"))</f>
        <v>R</v>
      </c>
    </row>
    <row r="40" spans="1:16" ht="15" customHeight="1" x14ac:dyDescent="0.25">
      <c r="L40" s="29" t="s">
        <v>46</v>
      </c>
      <c r="M40" s="30" t="str">
        <f>IF(OR(Steuerung!$B$7="",NOT(OR($E$4="Alle",$E$4="2025"))),"",SUMIFS('Leads Rohdaten'!$D$4:$D$503,'Leads Rohdaten'!$C$4:$C$503,Steuerung!$B$7,'Leads Rohdaten'!$A$4:$A$503,2025,'Leads Rohdaten'!$B$4:$B$503,"Dezember"))</f>
        <v/>
      </c>
      <c r="N40" s="30" t="str">
        <f>IF(OR(Steuerung!$B$7="",NOT(OR($E$4="Alle",$E$4="2025"))),"",SUMIFS('Leads Rohdaten'!$E$4:$E$503,'Leads Rohdaten'!$C$4:$C$503,Steuerung!$B$7,'Leads Rohdaten'!$A$4:$A$503,2025,'Leads Rohdaten'!$B$4:$B$503,"Dezember"))</f>
        <v/>
      </c>
      <c r="O40" s="31" t="str">
        <f t="shared" si="5"/>
        <v>–</v>
      </c>
      <c r="P40" s="32" t="str">
        <f ca="1">IF(Steuerung!$B$7="","",IF(EOMONTH(DATE(2025,MATCH("Dezember",{"Januar","Februar","März","April","Mai","Juni","Juli","August","September","Oktober","November","Dezember"},0),1),0)&lt;=TODAY()-Steuerung!$C$27,"R","F"))</f>
        <v>R</v>
      </c>
    </row>
    <row r="41" spans="1:16" ht="15" customHeight="1" x14ac:dyDescent="0.25">
      <c r="L41" s="25" t="s">
        <v>48</v>
      </c>
      <c r="M41" s="26" t="str">
        <f>IF(OR(Steuerung!$B$7="",NOT(OR($E$4="Alle",$E$4="2026"))),"",SUMIFS('Leads Rohdaten'!$D$4:$D$503,'Leads Rohdaten'!$C$4:$C$503,Steuerung!$B$7,'Leads Rohdaten'!$A$4:$A$503,2026,'Leads Rohdaten'!$B$4:$B$503,"Januar"))</f>
        <v/>
      </c>
      <c r="N41" s="26" t="str">
        <f>IF(OR(Steuerung!$B$7="",NOT(OR($E$4="Alle",$E$4="2026"))),"",SUMIFS('Leads Rohdaten'!$E$4:$E$503,'Leads Rohdaten'!$C$4:$C$503,Steuerung!$B$7,'Leads Rohdaten'!$A$4:$A$503,2026,'Leads Rohdaten'!$B$4:$B$503,"Januar"))</f>
        <v/>
      </c>
      <c r="O41" s="27" t="str">
        <f t="shared" si="5"/>
        <v>–</v>
      </c>
      <c r="P41" s="28" t="str">
        <f ca="1">IF(Steuerung!$B$7="","",IF(EOMONTH(DATE(2026,MATCH("Januar",{"Januar","Februar","März","April","Mai","Juni","Juli","August","September","Oktober","November","Dezember"},0),1),0)&lt;=TODAY()-Steuerung!$C$27,"R","F"))</f>
        <v>R</v>
      </c>
    </row>
    <row r="42" spans="1:16" ht="15" customHeight="1" x14ac:dyDescent="0.25">
      <c r="L42" s="29" t="s">
        <v>50</v>
      </c>
      <c r="M42" s="30" t="str">
        <f>IF(OR(Steuerung!$B$7="",NOT(OR($E$4="Alle",$E$4="2026"))),"",SUMIFS('Leads Rohdaten'!$D$4:$D$503,'Leads Rohdaten'!$C$4:$C$503,Steuerung!$B$7,'Leads Rohdaten'!$A$4:$A$503,2026,'Leads Rohdaten'!$B$4:$B$503,"Februar"))</f>
        <v/>
      </c>
      <c r="N42" s="30" t="str">
        <f>IF(OR(Steuerung!$B$7="",NOT(OR($E$4="Alle",$E$4="2026"))),"",SUMIFS('Leads Rohdaten'!$E$4:$E$503,'Leads Rohdaten'!$C$4:$C$503,Steuerung!$B$7,'Leads Rohdaten'!$A$4:$A$503,2026,'Leads Rohdaten'!$B$4:$B$503,"Februar"))</f>
        <v/>
      </c>
      <c r="O42" s="31" t="str">
        <f t="shared" si="5"/>
        <v>–</v>
      </c>
      <c r="P42" s="32" t="str">
        <f ca="1">IF(Steuerung!$B$7="","",IF(EOMONTH(DATE(2026,MATCH("Februar",{"Januar","Februar","März","April","Mai","Juni","Juli","August","September","Oktober","November","Dezember"},0),1),0)&lt;=TODAY()-Steuerung!$C$27,"R","F"))</f>
        <v>R</v>
      </c>
    </row>
    <row r="43" spans="1:16" ht="15" customHeight="1" x14ac:dyDescent="0.25">
      <c r="L43" s="25" t="s">
        <v>52</v>
      </c>
      <c r="M43" s="26" t="str">
        <f>IF(OR(Steuerung!$B$7="",NOT(OR($E$4="Alle",$E$4="2026"))),"",SUMIFS('Leads Rohdaten'!$D$4:$D$503,'Leads Rohdaten'!$C$4:$C$503,Steuerung!$B$7,'Leads Rohdaten'!$A$4:$A$503,2026,'Leads Rohdaten'!$B$4:$B$503,"März"))</f>
        <v/>
      </c>
      <c r="N43" s="26" t="str">
        <f>IF(OR(Steuerung!$B$7="",NOT(OR($E$4="Alle",$E$4="2026"))),"",SUMIFS('Leads Rohdaten'!$E$4:$E$503,'Leads Rohdaten'!$C$4:$C$503,Steuerung!$B$7,'Leads Rohdaten'!$A$4:$A$503,2026,'Leads Rohdaten'!$B$4:$B$503,"März"))</f>
        <v/>
      </c>
      <c r="O43" s="27" t="str">
        <f t="shared" si="5"/>
        <v>–</v>
      </c>
      <c r="P43" s="28" t="str">
        <f ca="1">IF(Steuerung!$B$7="","",IF(EOMONTH(DATE(2026,MATCH("März",{"Januar","Februar","März","April","Mai","Juni","Juli","August","September","Oktober","November","Dezember"},0),1),0)&lt;=TODAY()-Steuerung!$C$27,"R","F"))</f>
        <v>R</v>
      </c>
    </row>
    <row r="44" spans="1:16" ht="15" customHeight="1" x14ac:dyDescent="0.25">
      <c r="L44" s="29" t="s">
        <v>54</v>
      </c>
      <c r="M44" s="30" t="str">
        <f>IF(OR(Steuerung!$B$7="",NOT(OR($E$4="Alle",$E$4="2026"))),"",SUMIFS('Leads Rohdaten'!$D$4:$D$503,'Leads Rohdaten'!$C$4:$C$503,Steuerung!$B$7,'Leads Rohdaten'!$A$4:$A$503,2026,'Leads Rohdaten'!$B$4:$B$503,"April"))</f>
        <v/>
      </c>
      <c r="N44" s="30" t="str">
        <f>IF(OR(Steuerung!$B$7="",NOT(OR($E$4="Alle",$E$4="2026"))),"",SUMIFS('Leads Rohdaten'!$E$4:$E$503,'Leads Rohdaten'!$C$4:$C$503,Steuerung!$B$7,'Leads Rohdaten'!$A$4:$A$503,2026,'Leads Rohdaten'!$B$4:$B$503,"April"))</f>
        <v/>
      </c>
      <c r="O44" s="31" t="str">
        <f t="shared" si="5"/>
        <v>–</v>
      </c>
      <c r="P44" s="32" t="str">
        <f ca="1">IF(Steuerung!$B$7="","",IF(EOMONTH(DATE(2026,MATCH("April",{"Januar","Februar","März","April","Mai","Juni","Juli","August","September","Oktober","November","Dezember"},0),1),0)&lt;=TODAY()-Steuerung!$C$27,"R","F"))</f>
        <v>F</v>
      </c>
    </row>
    <row r="45" spans="1:16" ht="15" customHeight="1" x14ac:dyDescent="0.25">
      <c r="L45" s="25" t="s">
        <v>56</v>
      </c>
      <c r="M45" s="26" t="str">
        <f>IF(OR(Steuerung!$B$7="",NOT(OR($E$4="Alle",$E$4="2026"))),"",SUMIFS('Leads Rohdaten'!$D$4:$D$503,'Leads Rohdaten'!$C$4:$C$503,Steuerung!$B$7,'Leads Rohdaten'!$A$4:$A$503,2026,'Leads Rohdaten'!$B$4:$B$503,"Mai"))</f>
        <v/>
      </c>
      <c r="N45" s="26" t="str">
        <f>IF(OR(Steuerung!$B$7="",NOT(OR($E$4="Alle",$E$4="2026"))),"",SUMIFS('Leads Rohdaten'!$E$4:$E$503,'Leads Rohdaten'!$C$4:$C$503,Steuerung!$B$7,'Leads Rohdaten'!$A$4:$A$503,2026,'Leads Rohdaten'!$B$4:$B$503,"Mai"))</f>
        <v/>
      </c>
      <c r="O45" s="27" t="str">
        <f t="shared" si="5"/>
        <v>–</v>
      </c>
      <c r="P45" s="28" t="str">
        <f ca="1">IF(Steuerung!$B$7="","",IF(EOMONTH(DATE(2026,MATCH("Mai",{"Januar","Februar","März","April","Mai","Juni","Juli","August","September","Oktober","November","Dezember"},0),1),0)&lt;=TODAY()-Steuerung!$C$27,"R","F"))</f>
        <v>F</v>
      </c>
    </row>
    <row r="46" spans="1:16" ht="15" customHeight="1" x14ac:dyDescent="0.25">
      <c r="L46" s="29" t="s">
        <v>58</v>
      </c>
      <c r="M46" s="30" t="str">
        <f>IF(OR(Steuerung!$B$7="",NOT(OR($E$4="Alle",$E$4="2026"))),"",SUMIFS('Leads Rohdaten'!$D$4:$D$503,'Leads Rohdaten'!$C$4:$C$503,Steuerung!$B$7,'Leads Rohdaten'!$A$4:$A$503,2026,'Leads Rohdaten'!$B$4:$B$503,"Juni"))</f>
        <v/>
      </c>
      <c r="N46" s="30" t="str">
        <f>IF(OR(Steuerung!$B$7="",NOT(OR($E$4="Alle",$E$4="2026"))),"",SUMIFS('Leads Rohdaten'!$E$4:$E$503,'Leads Rohdaten'!$C$4:$C$503,Steuerung!$B$7,'Leads Rohdaten'!$A$4:$A$503,2026,'Leads Rohdaten'!$B$4:$B$503,"Juni"))</f>
        <v/>
      </c>
      <c r="O46" s="31" t="str">
        <f t="shared" si="5"/>
        <v>–</v>
      </c>
      <c r="P46" s="32" t="str">
        <f ca="1">IF(Steuerung!$B$7="","",IF(EOMONTH(DATE(2026,MATCH("Juni",{"Januar","Februar","März","April","Mai","Juni","Juli","August","September","Oktober","November","Dezember"},0),1),0)&lt;=TODAY()-Steuerung!$C$27,"R","F"))</f>
        <v>F</v>
      </c>
    </row>
    <row r="48" spans="1:16" ht="15" customHeight="1" x14ac:dyDescent="0.25">
      <c r="L48" s="112" t="str">
        <f>IF(Steuerung!B8="","  (leerer Slot)","  "&amp;Steuerung!C8)</f>
        <v xml:space="preserve">  Gerd</v>
      </c>
      <c r="M48" s="112"/>
      <c r="N48" s="112"/>
      <c r="O48" s="112"/>
      <c r="P48" s="112"/>
    </row>
    <row r="49" spans="12:16" ht="15" customHeight="1" x14ac:dyDescent="0.25">
      <c r="L49" s="25" t="s">
        <v>42</v>
      </c>
      <c r="M49" s="26" t="str">
        <f>IF(OR(Steuerung!$B$8="",NOT(OR($E$4="Alle",$E$4="2025"))),"",SUMIFS('Leads Rohdaten'!$D$4:$D$503,'Leads Rohdaten'!$C$4:$C$503,Steuerung!$B$8,'Leads Rohdaten'!$A$4:$A$503,2025,'Leads Rohdaten'!$B$4:$B$503,"Oktober"))</f>
        <v/>
      </c>
      <c r="N49" s="26" t="str">
        <f>IF(OR(Steuerung!$B$8="",NOT(OR($E$4="Alle",$E$4="2025"))),"",SUMIFS('Leads Rohdaten'!$E$4:$E$503,'Leads Rohdaten'!$C$4:$C$503,Steuerung!$B$8,'Leads Rohdaten'!$A$4:$A$503,2025,'Leads Rohdaten'!$B$4:$B$503,"Oktober"))</f>
        <v/>
      </c>
      <c r="O49" s="27" t="str">
        <f t="shared" ref="O49:O57" si="6">IF(OR(M49="",M49=0),"–",N49/M49)</f>
        <v>–</v>
      </c>
      <c r="P49" s="28" t="str">
        <f ca="1">IF(Steuerung!$B$8="","",IF(EOMONTH(DATE(2025,MATCH("Oktober",{"Januar","Februar","März","April","Mai","Juni","Juli","August","September","Oktober","November","Dezember"},0),1),0)&lt;=TODAY()-Steuerung!$C$27,"R","F"))</f>
        <v>R</v>
      </c>
    </row>
    <row r="50" spans="12:16" ht="15" customHeight="1" x14ac:dyDescent="0.25">
      <c r="L50" s="29" t="s">
        <v>44</v>
      </c>
      <c r="M50" s="30" t="str">
        <f>IF(OR(Steuerung!$B$8="",NOT(OR($E$4="Alle",$E$4="2025"))),"",SUMIFS('Leads Rohdaten'!$D$4:$D$503,'Leads Rohdaten'!$C$4:$C$503,Steuerung!$B$8,'Leads Rohdaten'!$A$4:$A$503,2025,'Leads Rohdaten'!$B$4:$B$503,"November"))</f>
        <v/>
      </c>
      <c r="N50" s="30" t="str">
        <f>IF(OR(Steuerung!$B$8="",NOT(OR($E$4="Alle",$E$4="2025"))),"",SUMIFS('Leads Rohdaten'!$E$4:$E$503,'Leads Rohdaten'!$C$4:$C$503,Steuerung!$B$8,'Leads Rohdaten'!$A$4:$A$503,2025,'Leads Rohdaten'!$B$4:$B$503,"November"))</f>
        <v/>
      </c>
      <c r="O50" s="31" t="str">
        <f t="shared" si="6"/>
        <v>–</v>
      </c>
      <c r="P50" s="32" t="str">
        <f ca="1">IF(Steuerung!$B$8="","",IF(EOMONTH(DATE(2025,MATCH("November",{"Januar","Februar","März","April","Mai","Juni","Juli","August","September","Oktober","November","Dezember"},0),1),0)&lt;=TODAY()-Steuerung!$C$27,"R","F"))</f>
        <v>R</v>
      </c>
    </row>
    <row r="51" spans="12:16" ht="15" customHeight="1" x14ac:dyDescent="0.25">
      <c r="L51" s="25" t="s">
        <v>46</v>
      </c>
      <c r="M51" s="26" t="str">
        <f>IF(OR(Steuerung!$B$8="",NOT(OR($E$4="Alle",$E$4="2025"))),"",SUMIFS('Leads Rohdaten'!$D$4:$D$503,'Leads Rohdaten'!$C$4:$C$503,Steuerung!$B$8,'Leads Rohdaten'!$A$4:$A$503,2025,'Leads Rohdaten'!$B$4:$B$503,"Dezember"))</f>
        <v/>
      </c>
      <c r="N51" s="26" t="str">
        <f>IF(OR(Steuerung!$B$8="",NOT(OR($E$4="Alle",$E$4="2025"))),"",SUMIFS('Leads Rohdaten'!$E$4:$E$503,'Leads Rohdaten'!$C$4:$C$503,Steuerung!$B$8,'Leads Rohdaten'!$A$4:$A$503,2025,'Leads Rohdaten'!$B$4:$B$503,"Dezember"))</f>
        <v/>
      </c>
      <c r="O51" s="27" t="str">
        <f t="shared" si="6"/>
        <v>–</v>
      </c>
      <c r="P51" s="28" t="str">
        <f ca="1">IF(Steuerung!$B$8="","",IF(EOMONTH(DATE(2025,MATCH("Dezember",{"Januar","Februar","März","April","Mai","Juni","Juli","August","September","Oktober","November","Dezember"},0),1),0)&lt;=TODAY()-Steuerung!$C$27,"R","F"))</f>
        <v>R</v>
      </c>
    </row>
    <row r="52" spans="12:16" ht="15" customHeight="1" x14ac:dyDescent="0.25">
      <c r="L52" s="29" t="s">
        <v>48</v>
      </c>
      <c r="M52" s="30" t="str">
        <f>IF(OR(Steuerung!$B$8="",NOT(OR($E$4="Alle",$E$4="2026"))),"",SUMIFS('Leads Rohdaten'!$D$4:$D$503,'Leads Rohdaten'!$C$4:$C$503,Steuerung!$B$8,'Leads Rohdaten'!$A$4:$A$503,2026,'Leads Rohdaten'!$B$4:$B$503,"Januar"))</f>
        <v/>
      </c>
      <c r="N52" s="30" t="str">
        <f>IF(OR(Steuerung!$B$8="",NOT(OR($E$4="Alle",$E$4="2026"))),"",SUMIFS('Leads Rohdaten'!$E$4:$E$503,'Leads Rohdaten'!$C$4:$C$503,Steuerung!$B$8,'Leads Rohdaten'!$A$4:$A$503,2026,'Leads Rohdaten'!$B$4:$B$503,"Januar"))</f>
        <v/>
      </c>
      <c r="O52" s="31" t="str">
        <f t="shared" si="6"/>
        <v>–</v>
      </c>
      <c r="P52" s="32" t="str">
        <f ca="1">IF(Steuerung!$B$8="","",IF(EOMONTH(DATE(2026,MATCH("Januar",{"Januar","Februar","März","April","Mai","Juni","Juli","August","September","Oktober","November","Dezember"},0),1),0)&lt;=TODAY()-Steuerung!$C$27,"R","F"))</f>
        <v>R</v>
      </c>
    </row>
    <row r="53" spans="12:16" ht="15" customHeight="1" x14ac:dyDescent="0.25">
      <c r="L53" s="25" t="s">
        <v>50</v>
      </c>
      <c r="M53" s="26" t="str">
        <f>IF(OR(Steuerung!$B$8="",NOT(OR($E$4="Alle",$E$4="2026"))),"",SUMIFS('Leads Rohdaten'!$D$4:$D$503,'Leads Rohdaten'!$C$4:$C$503,Steuerung!$B$8,'Leads Rohdaten'!$A$4:$A$503,2026,'Leads Rohdaten'!$B$4:$B$503,"Februar"))</f>
        <v/>
      </c>
      <c r="N53" s="26" t="str">
        <f>IF(OR(Steuerung!$B$8="",NOT(OR($E$4="Alle",$E$4="2026"))),"",SUMIFS('Leads Rohdaten'!$E$4:$E$503,'Leads Rohdaten'!$C$4:$C$503,Steuerung!$B$8,'Leads Rohdaten'!$A$4:$A$503,2026,'Leads Rohdaten'!$B$4:$B$503,"Februar"))</f>
        <v/>
      </c>
      <c r="O53" s="27" t="str">
        <f t="shared" si="6"/>
        <v>–</v>
      </c>
      <c r="P53" s="28" t="str">
        <f ca="1">IF(Steuerung!$B$8="","",IF(EOMONTH(DATE(2026,MATCH("Februar",{"Januar","Februar","März","April","Mai","Juni","Juli","August","September","Oktober","November","Dezember"},0),1),0)&lt;=TODAY()-Steuerung!$C$27,"R","F"))</f>
        <v>R</v>
      </c>
    </row>
    <row r="54" spans="12:16" ht="15" customHeight="1" x14ac:dyDescent="0.25">
      <c r="L54" s="29" t="s">
        <v>52</v>
      </c>
      <c r="M54" s="30" t="str">
        <f>IF(OR(Steuerung!$B$8="",NOT(OR($E$4="Alle",$E$4="2026"))),"",SUMIFS('Leads Rohdaten'!$D$4:$D$503,'Leads Rohdaten'!$C$4:$C$503,Steuerung!$B$8,'Leads Rohdaten'!$A$4:$A$503,2026,'Leads Rohdaten'!$B$4:$B$503,"März"))</f>
        <v/>
      </c>
      <c r="N54" s="30" t="str">
        <f>IF(OR(Steuerung!$B$8="",NOT(OR($E$4="Alle",$E$4="2026"))),"",SUMIFS('Leads Rohdaten'!$E$4:$E$503,'Leads Rohdaten'!$C$4:$C$503,Steuerung!$B$8,'Leads Rohdaten'!$A$4:$A$503,2026,'Leads Rohdaten'!$B$4:$B$503,"März"))</f>
        <v/>
      </c>
      <c r="O54" s="31" t="str">
        <f t="shared" si="6"/>
        <v>–</v>
      </c>
      <c r="P54" s="32" t="str">
        <f ca="1">IF(Steuerung!$B$8="","",IF(EOMONTH(DATE(2026,MATCH("März",{"Januar","Februar","März","April","Mai","Juni","Juli","August","September","Oktober","November","Dezember"},0),1),0)&lt;=TODAY()-Steuerung!$C$27,"R","F"))</f>
        <v>R</v>
      </c>
    </row>
    <row r="55" spans="12:16" ht="15" customHeight="1" x14ac:dyDescent="0.25">
      <c r="L55" s="25" t="s">
        <v>54</v>
      </c>
      <c r="M55" s="26" t="str">
        <f>IF(OR(Steuerung!$B$8="",NOT(OR($E$4="Alle",$E$4="2026"))),"",SUMIFS('Leads Rohdaten'!$D$4:$D$503,'Leads Rohdaten'!$C$4:$C$503,Steuerung!$B$8,'Leads Rohdaten'!$A$4:$A$503,2026,'Leads Rohdaten'!$B$4:$B$503,"April"))</f>
        <v/>
      </c>
      <c r="N55" s="26" t="str">
        <f>IF(OR(Steuerung!$B$8="",NOT(OR($E$4="Alle",$E$4="2026"))),"",SUMIFS('Leads Rohdaten'!$E$4:$E$503,'Leads Rohdaten'!$C$4:$C$503,Steuerung!$B$8,'Leads Rohdaten'!$A$4:$A$503,2026,'Leads Rohdaten'!$B$4:$B$503,"April"))</f>
        <v/>
      </c>
      <c r="O55" s="27" t="str">
        <f t="shared" si="6"/>
        <v>–</v>
      </c>
      <c r="P55" s="28" t="str">
        <f ca="1">IF(Steuerung!$B$8="","",IF(EOMONTH(DATE(2026,MATCH("April",{"Januar","Februar","März","April","Mai","Juni","Juli","August","September","Oktober","November","Dezember"},0),1),0)&lt;=TODAY()-Steuerung!$C$27,"R","F"))</f>
        <v>F</v>
      </c>
    </row>
    <row r="56" spans="12:16" ht="15" customHeight="1" x14ac:dyDescent="0.25">
      <c r="L56" s="29" t="s">
        <v>56</v>
      </c>
      <c r="M56" s="30" t="str">
        <f>IF(OR(Steuerung!$B$8="",NOT(OR($E$4="Alle",$E$4="2026"))),"",SUMIFS('Leads Rohdaten'!$D$4:$D$503,'Leads Rohdaten'!$C$4:$C$503,Steuerung!$B$8,'Leads Rohdaten'!$A$4:$A$503,2026,'Leads Rohdaten'!$B$4:$B$503,"Mai"))</f>
        <v/>
      </c>
      <c r="N56" s="30" t="str">
        <f>IF(OR(Steuerung!$B$8="",NOT(OR($E$4="Alle",$E$4="2026"))),"",SUMIFS('Leads Rohdaten'!$E$4:$E$503,'Leads Rohdaten'!$C$4:$C$503,Steuerung!$B$8,'Leads Rohdaten'!$A$4:$A$503,2026,'Leads Rohdaten'!$B$4:$B$503,"Mai"))</f>
        <v/>
      </c>
      <c r="O56" s="31" t="str">
        <f t="shared" si="6"/>
        <v>–</v>
      </c>
      <c r="P56" s="32" t="str">
        <f ca="1">IF(Steuerung!$B$8="","",IF(EOMONTH(DATE(2026,MATCH("Mai",{"Januar","Februar","März","April","Mai","Juni","Juli","August","September","Oktober","November","Dezember"},0),1),0)&lt;=TODAY()-Steuerung!$C$27,"R","F"))</f>
        <v>F</v>
      </c>
    </row>
    <row r="57" spans="12:16" ht="15" customHeight="1" x14ac:dyDescent="0.25">
      <c r="L57" s="25" t="s">
        <v>58</v>
      </c>
      <c r="M57" s="26" t="str">
        <f>IF(OR(Steuerung!$B$8="",NOT(OR($E$4="Alle",$E$4="2026"))),"",SUMIFS('Leads Rohdaten'!$D$4:$D$503,'Leads Rohdaten'!$C$4:$C$503,Steuerung!$B$8,'Leads Rohdaten'!$A$4:$A$503,2026,'Leads Rohdaten'!$B$4:$B$503,"Juni"))</f>
        <v/>
      </c>
      <c r="N57" s="26" t="str">
        <f>IF(OR(Steuerung!$B$8="",NOT(OR($E$4="Alle",$E$4="2026"))),"",SUMIFS('Leads Rohdaten'!$E$4:$E$503,'Leads Rohdaten'!$C$4:$C$503,Steuerung!$B$8,'Leads Rohdaten'!$A$4:$A$503,2026,'Leads Rohdaten'!$B$4:$B$503,"Juni"))</f>
        <v/>
      </c>
      <c r="O57" s="27" t="str">
        <f t="shared" si="6"/>
        <v>–</v>
      </c>
      <c r="P57" s="28" t="str">
        <f ca="1">IF(Steuerung!$B$8="","",IF(EOMONTH(DATE(2026,MATCH("Juni",{"Januar","Februar","März","April","Mai","Juni","Juli","August","September","Oktober","November","Dezember"},0),1),0)&lt;=TODAY()-Steuerung!$C$27,"R","F"))</f>
        <v>F</v>
      </c>
    </row>
    <row r="59" spans="12:16" ht="15" customHeight="1" x14ac:dyDescent="0.25">
      <c r="L59" s="112" t="str">
        <f>IF(Steuerung!B9="","  (leerer Slot)","  "&amp;Steuerung!C9)</f>
        <v xml:space="preserve">  David</v>
      </c>
      <c r="M59" s="112"/>
      <c r="N59" s="112"/>
      <c r="O59" s="112"/>
      <c r="P59" s="112"/>
    </row>
    <row r="60" spans="12:16" ht="15" customHeight="1" x14ac:dyDescent="0.25">
      <c r="L60" s="29" t="s">
        <v>42</v>
      </c>
      <c r="M60" s="30" t="str">
        <f>IF(OR(Steuerung!$B$9="",NOT(OR($E$4="Alle",$E$4="2025"))),"",SUMIFS('Leads Rohdaten'!$D$4:$D$503,'Leads Rohdaten'!$C$4:$C$503,Steuerung!$B$9,'Leads Rohdaten'!$A$4:$A$503,2025,'Leads Rohdaten'!$B$4:$B$503,"Oktober"))</f>
        <v/>
      </c>
      <c r="N60" s="30" t="str">
        <f>IF(OR(Steuerung!$B$9="",NOT(OR($E$4="Alle",$E$4="2025"))),"",SUMIFS('Leads Rohdaten'!$E$4:$E$503,'Leads Rohdaten'!$C$4:$C$503,Steuerung!$B$9,'Leads Rohdaten'!$A$4:$A$503,2025,'Leads Rohdaten'!$B$4:$B$503,"Oktober"))</f>
        <v/>
      </c>
      <c r="O60" s="31" t="str">
        <f t="shared" ref="O60:O68" si="7">IF(OR(M60="",M60=0),"–",N60/M60)</f>
        <v>–</v>
      </c>
      <c r="P60" s="32" t="str">
        <f ca="1">IF(Steuerung!$B$9="","",IF(EOMONTH(DATE(2025,MATCH("Oktober",{"Januar","Februar","März","April","Mai","Juni","Juli","August","September","Oktober","November","Dezember"},0),1),0)&lt;=TODAY()-Steuerung!$C$27,"R","F"))</f>
        <v>R</v>
      </c>
    </row>
    <row r="61" spans="12:16" ht="15" customHeight="1" x14ac:dyDescent="0.25">
      <c r="L61" s="25" t="s">
        <v>44</v>
      </c>
      <c r="M61" s="26" t="str">
        <f>IF(OR(Steuerung!$B$9="",NOT(OR($E$4="Alle",$E$4="2025"))),"",SUMIFS('Leads Rohdaten'!$D$4:$D$503,'Leads Rohdaten'!$C$4:$C$503,Steuerung!$B$9,'Leads Rohdaten'!$A$4:$A$503,2025,'Leads Rohdaten'!$B$4:$B$503,"November"))</f>
        <v/>
      </c>
      <c r="N61" s="26" t="str">
        <f>IF(OR(Steuerung!$B$9="",NOT(OR($E$4="Alle",$E$4="2025"))),"",SUMIFS('Leads Rohdaten'!$E$4:$E$503,'Leads Rohdaten'!$C$4:$C$503,Steuerung!$B$9,'Leads Rohdaten'!$A$4:$A$503,2025,'Leads Rohdaten'!$B$4:$B$503,"November"))</f>
        <v/>
      </c>
      <c r="O61" s="27" t="str">
        <f t="shared" si="7"/>
        <v>–</v>
      </c>
      <c r="P61" s="28" t="str">
        <f ca="1">IF(Steuerung!$B$9="","",IF(EOMONTH(DATE(2025,MATCH("November",{"Januar","Februar","März","April","Mai","Juni","Juli","August","September","Oktober","November","Dezember"},0),1),0)&lt;=TODAY()-Steuerung!$C$27,"R","F"))</f>
        <v>R</v>
      </c>
    </row>
    <row r="62" spans="12:16" ht="15" customHeight="1" x14ac:dyDescent="0.25">
      <c r="L62" s="29" t="s">
        <v>46</v>
      </c>
      <c r="M62" s="30" t="str">
        <f>IF(OR(Steuerung!$B$9="",NOT(OR($E$4="Alle",$E$4="2025"))),"",SUMIFS('Leads Rohdaten'!$D$4:$D$503,'Leads Rohdaten'!$C$4:$C$503,Steuerung!$B$9,'Leads Rohdaten'!$A$4:$A$503,2025,'Leads Rohdaten'!$B$4:$B$503,"Dezember"))</f>
        <v/>
      </c>
      <c r="N62" s="30" t="str">
        <f>IF(OR(Steuerung!$B$9="",NOT(OR($E$4="Alle",$E$4="2025"))),"",SUMIFS('Leads Rohdaten'!$E$4:$E$503,'Leads Rohdaten'!$C$4:$C$503,Steuerung!$B$9,'Leads Rohdaten'!$A$4:$A$503,2025,'Leads Rohdaten'!$B$4:$B$503,"Dezember"))</f>
        <v/>
      </c>
      <c r="O62" s="31" t="str">
        <f t="shared" si="7"/>
        <v>–</v>
      </c>
      <c r="P62" s="32" t="str">
        <f ca="1">IF(Steuerung!$B$9="","",IF(EOMONTH(DATE(2025,MATCH("Dezember",{"Januar","Februar","März","April","Mai","Juni","Juli","August","September","Oktober","November","Dezember"},0),1),0)&lt;=TODAY()-Steuerung!$C$27,"R","F"))</f>
        <v>R</v>
      </c>
    </row>
    <row r="63" spans="12:16" ht="15" customHeight="1" x14ac:dyDescent="0.25">
      <c r="L63" s="25" t="s">
        <v>48</v>
      </c>
      <c r="M63" s="26" t="str">
        <f>IF(OR(Steuerung!$B$9="",NOT(OR($E$4="Alle",$E$4="2026"))),"",SUMIFS('Leads Rohdaten'!$D$4:$D$503,'Leads Rohdaten'!$C$4:$C$503,Steuerung!$B$9,'Leads Rohdaten'!$A$4:$A$503,2026,'Leads Rohdaten'!$B$4:$B$503,"Januar"))</f>
        <v/>
      </c>
      <c r="N63" s="26" t="str">
        <f>IF(OR(Steuerung!$B$9="",NOT(OR($E$4="Alle",$E$4="2026"))),"",SUMIFS('Leads Rohdaten'!$E$4:$E$503,'Leads Rohdaten'!$C$4:$C$503,Steuerung!$B$9,'Leads Rohdaten'!$A$4:$A$503,2026,'Leads Rohdaten'!$B$4:$B$503,"Januar"))</f>
        <v/>
      </c>
      <c r="O63" s="27" t="str">
        <f t="shared" si="7"/>
        <v>–</v>
      </c>
      <c r="P63" s="28" t="str">
        <f ca="1">IF(Steuerung!$B$9="","",IF(EOMONTH(DATE(2026,MATCH("Januar",{"Januar","Februar","März","April","Mai","Juni","Juli","August","September","Oktober","November","Dezember"},0),1),0)&lt;=TODAY()-Steuerung!$C$27,"R","F"))</f>
        <v>R</v>
      </c>
    </row>
    <row r="64" spans="12:16" ht="15" customHeight="1" x14ac:dyDescent="0.25">
      <c r="L64" s="29" t="s">
        <v>50</v>
      </c>
      <c r="M64" s="30" t="str">
        <f>IF(OR(Steuerung!$B$9="",NOT(OR($E$4="Alle",$E$4="2026"))),"",SUMIFS('Leads Rohdaten'!$D$4:$D$503,'Leads Rohdaten'!$C$4:$C$503,Steuerung!$B$9,'Leads Rohdaten'!$A$4:$A$503,2026,'Leads Rohdaten'!$B$4:$B$503,"Februar"))</f>
        <v/>
      </c>
      <c r="N64" s="30" t="str">
        <f>IF(OR(Steuerung!$B$9="",NOT(OR($E$4="Alle",$E$4="2026"))),"",SUMIFS('Leads Rohdaten'!$E$4:$E$503,'Leads Rohdaten'!$C$4:$C$503,Steuerung!$B$9,'Leads Rohdaten'!$A$4:$A$503,2026,'Leads Rohdaten'!$B$4:$B$503,"Februar"))</f>
        <v/>
      </c>
      <c r="O64" s="31" t="str">
        <f t="shared" si="7"/>
        <v>–</v>
      </c>
      <c r="P64" s="32" t="str">
        <f ca="1">IF(Steuerung!$B$9="","",IF(EOMONTH(DATE(2026,MATCH("Februar",{"Januar","Februar","März","April","Mai","Juni","Juli","August","September","Oktober","November","Dezember"},0),1),0)&lt;=TODAY()-Steuerung!$C$27,"R","F"))</f>
        <v>R</v>
      </c>
    </row>
    <row r="65" spans="12:16" ht="15" customHeight="1" x14ac:dyDescent="0.25">
      <c r="L65" s="25" t="s">
        <v>52</v>
      </c>
      <c r="M65" s="26" t="str">
        <f>IF(OR(Steuerung!$B$9="",NOT(OR($E$4="Alle",$E$4="2026"))),"",SUMIFS('Leads Rohdaten'!$D$4:$D$503,'Leads Rohdaten'!$C$4:$C$503,Steuerung!$B$9,'Leads Rohdaten'!$A$4:$A$503,2026,'Leads Rohdaten'!$B$4:$B$503,"März"))</f>
        <v/>
      </c>
      <c r="N65" s="26" t="str">
        <f>IF(OR(Steuerung!$B$9="",NOT(OR($E$4="Alle",$E$4="2026"))),"",SUMIFS('Leads Rohdaten'!$E$4:$E$503,'Leads Rohdaten'!$C$4:$C$503,Steuerung!$B$9,'Leads Rohdaten'!$A$4:$A$503,2026,'Leads Rohdaten'!$B$4:$B$503,"März"))</f>
        <v/>
      </c>
      <c r="O65" s="27" t="str">
        <f t="shared" si="7"/>
        <v>–</v>
      </c>
      <c r="P65" s="28" t="str">
        <f ca="1">IF(Steuerung!$B$9="","",IF(EOMONTH(DATE(2026,MATCH("März",{"Januar","Februar","März","April","Mai","Juni","Juli","August","September","Oktober","November","Dezember"},0),1),0)&lt;=TODAY()-Steuerung!$C$27,"R","F"))</f>
        <v>R</v>
      </c>
    </row>
    <row r="66" spans="12:16" ht="15" customHeight="1" x14ac:dyDescent="0.25">
      <c r="L66" s="29" t="s">
        <v>54</v>
      </c>
      <c r="M66" s="30" t="str">
        <f>IF(OR(Steuerung!$B$9="",NOT(OR($E$4="Alle",$E$4="2026"))),"",SUMIFS('Leads Rohdaten'!$D$4:$D$503,'Leads Rohdaten'!$C$4:$C$503,Steuerung!$B$9,'Leads Rohdaten'!$A$4:$A$503,2026,'Leads Rohdaten'!$B$4:$B$503,"April"))</f>
        <v/>
      </c>
      <c r="N66" s="30" t="str">
        <f>IF(OR(Steuerung!$B$9="",NOT(OR($E$4="Alle",$E$4="2026"))),"",SUMIFS('Leads Rohdaten'!$E$4:$E$503,'Leads Rohdaten'!$C$4:$C$503,Steuerung!$B$9,'Leads Rohdaten'!$A$4:$A$503,2026,'Leads Rohdaten'!$B$4:$B$503,"April"))</f>
        <v/>
      </c>
      <c r="O66" s="31" t="str">
        <f t="shared" si="7"/>
        <v>–</v>
      </c>
      <c r="P66" s="32" t="str">
        <f ca="1">IF(Steuerung!$B$9="","",IF(EOMONTH(DATE(2026,MATCH("April",{"Januar","Februar","März","April","Mai","Juni","Juli","August","September","Oktober","November","Dezember"},0),1),0)&lt;=TODAY()-Steuerung!$C$27,"R","F"))</f>
        <v>F</v>
      </c>
    </row>
    <row r="67" spans="12:16" ht="15" customHeight="1" x14ac:dyDescent="0.25">
      <c r="L67" s="25" t="s">
        <v>56</v>
      </c>
      <c r="M67" s="26" t="str">
        <f>IF(OR(Steuerung!$B$9="",NOT(OR($E$4="Alle",$E$4="2026"))),"",SUMIFS('Leads Rohdaten'!$D$4:$D$503,'Leads Rohdaten'!$C$4:$C$503,Steuerung!$B$9,'Leads Rohdaten'!$A$4:$A$503,2026,'Leads Rohdaten'!$B$4:$B$503,"Mai"))</f>
        <v/>
      </c>
      <c r="N67" s="26" t="str">
        <f>IF(OR(Steuerung!$B$9="",NOT(OR($E$4="Alle",$E$4="2026"))),"",SUMIFS('Leads Rohdaten'!$E$4:$E$503,'Leads Rohdaten'!$C$4:$C$503,Steuerung!$B$9,'Leads Rohdaten'!$A$4:$A$503,2026,'Leads Rohdaten'!$B$4:$B$503,"Mai"))</f>
        <v/>
      </c>
      <c r="O67" s="27" t="str">
        <f t="shared" si="7"/>
        <v>–</v>
      </c>
      <c r="P67" s="28" t="str">
        <f ca="1">IF(Steuerung!$B$9="","",IF(EOMONTH(DATE(2026,MATCH("Mai",{"Januar","Februar","März","April","Mai","Juni","Juli","August","September","Oktober","November","Dezember"},0),1),0)&lt;=TODAY()-Steuerung!$C$27,"R","F"))</f>
        <v>F</v>
      </c>
    </row>
    <row r="68" spans="12:16" ht="15" customHeight="1" x14ac:dyDescent="0.25">
      <c r="L68" s="29" t="s">
        <v>58</v>
      </c>
      <c r="M68" s="30" t="str">
        <f>IF(OR(Steuerung!$B$9="",NOT(OR($E$4="Alle",$E$4="2026"))),"",SUMIFS('Leads Rohdaten'!$D$4:$D$503,'Leads Rohdaten'!$C$4:$C$503,Steuerung!$B$9,'Leads Rohdaten'!$A$4:$A$503,2026,'Leads Rohdaten'!$B$4:$B$503,"Juni"))</f>
        <v/>
      </c>
      <c r="N68" s="30" t="str">
        <f>IF(OR(Steuerung!$B$9="",NOT(OR($E$4="Alle",$E$4="2026"))),"",SUMIFS('Leads Rohdaten'!$E$4:$E$503,'Leads Rohdaten'!$C$4:$C$503,Steuerung!$B$9,'Leads Rohdaten'!$A$4:$A$503,2026,'Leads Rohdaten'!$B$4:$B$503,"Juni"))</f>
        <v/>
      </c>
      <c r="O68" s="31" t="str">
        <f t="shared" si="7"/>
        <v>–</v>
      </c>
      <c r="P68" s="32" t="str">
        <f ca="1">IF(Steuerung!$B$9="","",IF(EOMONTH(DATE(2026,MATCH("Juni",{"Januar","Februar","März","April","Mai","Juni","Juli","August","September","Oktober","November","Dezember"},0),1),0)&lt;=TODAY()-Steuerung!$C$27,"R","F"))</f>
        <v>F</v>
      </c>
    </row>
    <row r="70" spans="12:16" ht="15" customHeight="1" x14ac:dyDescent="0.25">
      <c r="L70" s="112" t="str">
        <f>IF(Steuerung!B10="","  (leerer Slot)","  "&amp;Steuerung!C10)</f>
        <v xml:space="preserve">  (leerer Slot)</v>
      </c>
      <c r="M70" s="112"/>
      <c r="N70" s="112"/>
      <c r="O70" s="112"/>
      <c r="P70" s="112"/>
    </row>
    <row r="71" spans="12:16" ht="15" customHeight="1" x14ac:dyDescent="0.25">
      <c r="L71" s="25" t="s">
        <v>42</v>
      </c>
      <c r="M71" s="26" t="str">
        <f>IF(OR(Steuerung!$B$10="",NOT(OR($E$4="Alle",$E$4="2025"))),"",SUMIFS('Leads Rohdaten'!$D$4:$D$503,'Leads Rohdaten'!$C$4:$C$503,Steuerung!$B$10,'Leads Rohdaten'!$A$4:$A$503,2025,'Leads Rohdaten'!$B$4:$B$503,"Oktober"))</f>
        <v/>
      </c>
      <c r="N71" s="26" t="str">
        <f>IF(OR(Steuerung!$B$10="",NOT(OR($E$4="Alle",$E$4="2025"))),"",SUMIFS('Leads Rohdaten'!$E$4:$E$503,'Leads Rohdaten'!$C$4:$C$503,Steuerung!$B$10,'Leads Rohdaten'!$A$4:$A$503,2025,'Leads Rohdaten'!$B$4:$B$503,"Oktober"))</f>
        <v/>
      </c>
      <c r="O71" s="27" t="str">
        <f t="shared" ref="O71:O79" si="8">IF(OR(M71="",M71=0),"–",N71/M71)</f>
        <v>–</v>
      </c>
      <c r="P71" s="28" t="str">
        <f ca="1">IF(Steuerung!$B$10="","",IF(EOMONTH(DATE(2025,MATCH("Oktober",{"Januar","Februar","März","April","Mai","Juni","Juli","August","September","Oktober","November","Dezember"},0),1),0)&lt;=TODAY()-Steuerung!$C$27,"R","F"))</f>
        <v/>
      </c>
    </row>
    <row r="72" spans="12:16" ht="15" customHeight="1" x14ac:dyDescent="0.25">
      <c r="L72" s="29" t="s">
        <v>44</v>
      </c>
      <c r="M72" s="30" t="str">
        <f>IF(OR(Steuerung!$B$10="",NOT(OR($E$4="Alle",$E$4="2025"))),"",SUMIFS('Leads Rohdaten'!$D$4:$D$503,'Leads Rohdaten'!$C$4:$C$503,Steuerung!$B$10,'Leads Rohdaten'!$A$4:$A$503,2025,'Leads Rohdaten'!$B$4:$B$503,"November"))</f>
        <v/>
      </c>
      <c r="N72" s="30" t="str">
        <f>IF(OR(Steuerung!$B$10="",NOT(OR($E$4="Alle",$E$4="2025"))),"",SUMIFS('Leads Rohdaten'!$E$4:$E$503,'Leads Rohdaten'!$C$4:$C$503,Steuerung!$B$10,'Leads Rohdaten'!$A$4:$A$503,2025,'Leads Rohdaten'!$B$4:$B$503,"November"))</f>
        <v/>
      </c>
      <c r="O72" s="31" t="str">
        <f t="shared" si="8"/>
        <v>–</v>
      </c>
      <c r="P72" s="32" t="str">
        <f ca="1">IF(Steuerung!$B$10="","",IF(EOMONTH(DATE(2025,MATCH("November",{"Januar","Februar","März","April","Mai","Juni","Juli","August","September","Oktober","November","Dezember"},0),1),0)&lt;=TODAY()-Steuerung!$C$27,"R","F"))</f>
        <v/>
      </c>
    </row>
    <row r="73" spans="12:16" ht="15" customHeight="1" x14ac:dyDescent="0.25">
      <c r="L73" s="25" t="s">
        <v>46</v>
      </c>
      <c r="M73" s="26" t="str">
        <f>IF(OR(Steuerung!$B$10="",NOT(OR($E$4="Alle",$E$4="2025"))),"",SUMIFS('Leads Rohdaten'!$D$4:$D$503,'Leads Rohdaten'!$C$4:$C$503,Steuerung!$B$10,'Leads Rohdaten'!$A$4:$A$503,2025,'Leads Rohdaten'!$B$4:$B$503,"Dezember"))</f>
        <v/>
      </c>
      <c r="N73" s="26" t="str">
        <f>IF(OR(Steuerung!$B$10="",NOT(OR($E$4="Alle",$E$4="2025"))),"",SUMIFS('Leads Rohdaten'!$E$4:$E$503,'Leads Rohdaten'!$C$4:$C$503,Steuerung!$B$10,'Leads Rohdaten'!$A$4:$A$503,2025,'Leads Rohdaten'!$B$4:$B$503,"Dezember"))</f>
        <v/>
      </c>
      <c r="O73" s="27" t="str">
        <f t="shared" si="8"/>
        <v>–</v>
      </c>
      <c r="P73" s="28" t="str">
        <f ca="1">IF(Steuerung!$B$10="","",IF(EOMONTH(DATE(2025,MATCH("Dezember",{"Januar","Februar","März","April","Mai","Juni","Juli","August","September","Oktober","November","Dezember"},0),1),0)&lt;=TODAY()-Steuerung!$C$27,"R","F"))</f>
        <v/>
      </c>
    </row>
    <row r="74" spans="12:16" ht="15" customHeight="1" x14ac:dyDescent="0.25">
      <c r="L74" s="29" t="s">
        <v>48</v>
      </c>
      <c r="M74" s="30" t="str">
        <f>IF(OR(Steuerung!$B$10="",NOT(OR($E$4="Alle",$E$4="2026"))),"",SUMIFS('Leads Rohdaten'!$D$4:$D$503,'Leads Rohdaten'!$C$4:$C$503,Steuerung!$B$10,'Leads Rohdaten'!$A$4:$A$503,2026,'Leads Rohdaten'!$B$4:$B$503,"Januar"))</f>
        <v/>
      </c>
      <c r="N74" s="30" t="str">
        <f>IF(OR(Steuerung!$B$10="",NOT(OR($E$4="Alle",$E$4="2026"))),"",SUMIFS('Leads Rohdaten'!$E$4:$E$503,'Leads Rohdaten'!$C$4:$C$503,Steuerung!$B$10,'Leads Rohdaten'!$A$4:$A$503,2026,'Leads Rohdaten'!$B$4:$B$503,"Januar"))</f>
        <v/>
      </c>
      <c r="O74" s="31" t="str">
        <f t="shared" si="8"/>
        <v>–</v>
      </c>
      <c r="P74" s="32" t="str">
        <f ca="1">IF(Steuerung!$B$10="","",IF(EOMONTH(DATE(2026,MATCH("Januar",{"Januar","Februar","März","April","Mai","Juni","Juli","August","September","Oktober","November","Dezember"},0),1),0)&lt;=TODAY()-Steuerung!$C$27,"R","F"))</f>
        <v/>
      </c>
    </row>
    <row r="75" spans="12:16" ht="15" customHeight="1" x14ac:dyDescent="0.25">
      <c r="L75" s="25" t="s">
        <v>50</v>
      </c>
      <c r="M75" s="26" t="str">
        <f>IF(OR(Steuerung!$B$10="",NOT(OR($E$4="Alle",$E$4="2026"))),"",SUMIFS('Leads Rohdaten'!$D$4:$D$503,'Leads Rohdaten'!$C$4:$C$503,Steuerung!$B$10,'Leads Rohdaten'!$A$4:$A$503,2026,'Leads Rohdaten'!$B$4:$B$503,"Februar"))</f>
        <v/>
      </c>
      <c r="N75" s="26" t="str">
        <f>IF(OR(Steuerung!$B$10="",NOT(OR($E$4="Alle",$E$4="2026"))),"",SUMIFS('Leads Rohdaten'!$E$4:$E$503,'Leads Rohdaten'!$C$4:$C$503,Steuerung!$B$10,'Leads Rohdaten'!$A$4:$A$503,2026,'Leads Rohdaten'!$B$4:$B$503,"Februar"))</f>
        <v/>
      </c>
      <c r="O75" s="27" t="str">
        <f t="shared" si="8"/>
        <v>–</v>
      </c>
      <c r="P75" s="28" t="str">
        <f ca="1">IF(Steuerung!$B$10="","",IF(EOMONTH(DATE(2026,MATCH("Februar",{"Januar","Februar","März","April","Mai","Juni","Juli","August","September","Oktober","November","Dezember"},0),1),0)&lt;=TODAY()-Steuerung!$C$27,"R","F"))</f>
        <v/>
      </c>
    </row>
    <row r="76" spans="12:16" ht="15" customHeight="1" x14ac:dyDescent="0.25">
      <c r="L76" s="29" t="s">
        <v>52</v>
      </c>
      <c r="M76" s="30" t="str">
        <f>IF(OR(Steuerung!$B$10="",NOT(OR($E$4="Alle",$E$4="2026"))),"",SUMIFS('Leads Rohdaten'!$D$4:$D$503,'Leads Rohdaten'!$C$4:$C$503,Steuerung!$B$10,'Leads Rohdaten'!$A$4:$A$503,2026,'Leads Rohdaten'!$B$4:$B$503,"März"))</f>
        <v/>
      </c>
      <c r="N76" s="30" t="str">
        <f>IF(OR(Steuerung!$B$10="",NOT(OR($E$4="Alle",$E$4="2026"))),"",SUMIFS('Leads Rohdaten'!$E$4:$E$503,'Leads Rohdaten'!$C$4:$C$503,Steuerung!$B$10,'Leads Rohdaten'!$A$4:$A$503,2026,'Leads Rohdaten'!$B$4:$B$503,"März"))</f>
        <v/>
      </c>
      <c r="O76" s="31" t="str">
        <f t="shared" si="8"/>
        <v>–</v>
      </c>
      <c r="P76" s="32" t="str">
        <f ca="1">IF(Steuerung!$B$10="","",IF(EOMONTH(DATE(2026,MATCH("März",{"Januar","Februar","März","April","Mai","Juni","Juli","August","September","Oktober","November","Dezember"},0),1),0)&lt;=TODAY()-Steuerung!$C$27,"R","F"))</f>
        <v/>
      </c>
    </row>
    <row r="77" spans="12:16" ht="15" customHeight="1" x14ac:dyDescent="0.25">
      <c r="L77" s="25" t="s">
        <v>54</v>
      </c>
      <c r="M77" s="26" t="str">
        <f>IF(OR(Steuerung!$B$10="",NOT(OR($E$4="Alle",$E$4="2026"))),"",SUMIFS('Leads Rohdaten'!$D$4:$D$503,'Leads Rohdaten'!$C$4:$C$503,Steuerung!$B$10,'Leads Rohdaten'!$A$4:$A$503,2026,'Leads Rohdaten'!$B$4:$B$503,"April"))</f>
        <v/>
      </c>
      <c r="N77" s="26" t="str">
        <f>IF(OR(Steuerung!$B$10="",NOT(OR($E$4="Alle",$E$4="2026"))),"",SUMIFS('Leads Rohdaten'!$E$4:$E$503,'Leads Rohdaten'!$C$4:$C$503,Steuerung!$B$10,'Leads Rohdaten'!$A$4:$A$503,2026,'Leads Rohdaten'!$B$4:$B$503,"April"))</f>
        <v/>
      </c>
      <c r="O77" s="27" t="str">
        <f t="shared" si="8"/>
        <v>–</v>
      </c>
      <c r="P77" s="28" t="str">
        <f ca="1">IF(Steuerung!$B$10="","",IF(EOMONTH(DATE(2026,MATCH("April",{"Januar","Februar","März","April","Mai","Juni","Juli","August","September","Oktober","November","Dezember"},0),1),0)&lt;=TODAY()-Steuerung!$C$27,"R","F"))</f>
        <v/>
      </c>
    </row>
    <row r="78" spans="12:16" ht="15" customHeight="1" x14ac:dyDescent="0.25">
      <c r="L78" s="29" t="s">
        <v>56</v>
      </c>
      <c r="M78" s="30" t="str">
        <f>IF(OR(Steuerung!$B$10="",NOT(OR($E$4="Alle",$E$4="2026"))),"",SUMIFS('Leads Rohdaten'!$D$4:$D$503,'Leads Rohdaten'!$C$4:$C$503,Steuerung!$B$10,'Leads Rohdaten'!$A$4:$A$503,2026,'Leads Rohdaten'!$B$4:$B$503,"Mai"))</f>
        <v/>
      </c>
      <c r="N78" s="30" t="str">
        <f>IF(OR(Steuerung!$B$10="",NOT(OR($E$4="Alle",$E$4="2026"))),"",SUMIFS('Leads Rohdaten'!$E$4:$E$503,'Leads Rohdaten'!$C$4:$C$503,Steuerung!$B$10,'Leads Rohdaten'!$A$4:$A$503,2026,'Leads Rohdaten'!$B$4:$B$503,"Mai"))</f>
        <v/>
      </c>
      <c r="O78" s="31" t="str">
        <f t="shared" si="8"/>
        <v>–</v>
      </c>
      <c r="P78" s="32" t="str">
        <f ca="1">IF(Steuerung!$B$10="","",IF(EOMONTH(DATE(2026,MATCH("Mai",{"Januar","Februar","März","April","Mai","Juni","Juli","August","September","Oktober","November","Dezember"},0),1),0)&lt;=TODAY()-Steuerung!$C$27,"R","F"))</f>
        <v/>
      </c>
    </row>
    <row r="79" spans="12:16" ht="15" customHeight="1" x14ac:dyDescent="0.25">
      <c r="L79" s="25" t="s">
        <v>58</v>
      </c>
      <c r="M79" s="26" t="str">
        <f>IF(OR(Steuerung!$B$10="",NOT(OR($E$4="Alle",$E$4="2026"))),"",SUMIFS('Leads Rohdaten'!$D$4:$D$503,'Leads Rohdaten'!$C$4:$C$503,Steuerung!$B$10,'Leads Rohdaten'!$A$4:$A$503,2026,'Leads Rohdaten'!$B$4:$B$503,"Juni"))</f>
        <v/>
      </c>
      <c r="N79" s="26" t="str">
        <f>IF(OR(Steuerung!$B$10="",NOT(OR($E$4="Alle",$E$4="2026"))),"",SUMIFS('Leads Rohdaten'!$E$4:$E$503,'Leads Rohdaten'!$C$4:$C$503,Steuerung!$B$10,'Leads Rohdaten'!$A$4:$A$503,2026,'Leads Rohdaten'!$B$4:$B$503,"Juni"))</f>
        <v/>
      </c>
      <c r="O79" s="27" t="str">
        <f t="shared" si="8"/>
        <v>–</v>
      </c>
      <c r="P79" s="28" t="str">
        <f ca="1">IF(Steuerung!$B$10="","",IF(EOMONTH(DATE(2026,MATCH("Juni",{"Januar","Februar","März","April","Mai","Juni","Juli","August","September","Oktober","November","Dezember"},0),1),0)&lt;=TODAY()-Steuerung!$C$27,"R","F"))</f>
        <v/>
      </c>
    </row>
    <row r="81" spans="12:16" ht="15" customHeight="1" x14ac:dyDescent="0.25">
      <c r="L81" s="112" t="str">
        <f>IF(Steuerung!B11="","  (leerer Slot)","  "&amp;Steuerung!C11)</f>
        <v xml:space="preserve">  (leerer Slot)</v>
      </c>
      <c r="M81" s="112"/>
      <c r="N81" s="112"/>
      <c r="O81" s="112"/>
      <c r="P81" s="112"/>
    </row>
    <row r="82" spans="12:16" ht="15" customHeight="1" x14ac:dyDescent="0.25">
      <c r="L82" s="29" t="s">
        <v>42</v>
      </c>
      <c r="M82" s="30" t="str">
        <f>IF(OR(Steuerung!$B$11="",NOT(OR($E$4="Alle",$E$4="2025"))),"",SUMIFS('Leads Rohdaten'!$D$4:$D$503,'Leads Rohdaten'!$C$4:$C$503,Steuerung!$B$11,'Leads Rohdaten'!$A$4:$A$503,2025,'Leads Rohdaten'!$B$4:$B$503,"Oktober"))</f>
        <v/>
      </c>
      <c r="N82" s="30" t="str">
        <f>IF(OR(Steuerung!$B$11="",NOT(OR($E$4="Alle",$E$4="2025"))),"",SUMIFS('Leads Rohdaten'!$E$4:$E$503,'Leads Rohdaten'!$C$4:$C$503,Steuerung!$B$11,'Leads Rohdaten'!$A$4:$A$503,2025,'Leads Rohdaten'!$B$4:$B$503,"Oktober"))</f>
        <v/>
      </c>
      <c r="O82" s="31" t="str">
        <f t="shared" ref="O82:O90" si="9">IF(OR(M82="",M82=0),"–",N82/M82)</f>
        <v>–</v>
      </c>
      <c r="P82" s="32" t="str">
        <f ca="1">IF(Steuerung!$B$11="","",IF(EOMONTH(DATE(2025,MATCH("Oktober",{"Januar","Februar","März","April","Mai","Juni","Juli","August","September","Oktober","November","Dezember"},0),1),0)&lt;=TODAY()-Steuerung!$C$27,"R","F"))</f>
        <v/>
      </c>
    </row>
    <row r="83" spans="12:16" ht="15" customHeight="1" x14ac:dyDescent="0.25">
      <c r="L83" s="25" t="s">
        <v>44</v>
      </c>
      <c r="M83" s="26" t="str">
        <f>IF(OR(Steuerung!$B$11="",NOT(OR($E$4="Alle",$E$4="2025"))),"",SUMIFS('Leads Rohdaten'!$D$4:$D$503,'Leads Rohdaten'!$C$4:$C$503,Steuerung!$B$11,'Leads Rohdaten'!$A$4:$A$503,2025,'Leads Rohdaten'!$B$4:$B$503,"November"))</f>
        <v/>
      </c>
      <c r="N83" s="26" t="str">
        <f>IF(OR(Steuerung!$B$11="",NOT(OR($E$4="Alle",$E$4="2025"))),"",SUMIFS('Leads Rohdaten'!$E$4:$E$503,'Leads Rohdaten'!$C$4:$C$503,Steuerung!$B$11,'Leads Rohdaten'!$A$4:$A$503,2025,'Leads Rohdaten'!$B$4:$B$503,"November"))</f>
        <v/>
      </c>
      <c r="O83" s="27" t="str">
        <f t="shared" si="9"/>
        <v>–</v>
      </c>
      <c r="P83" s="28" t="str">
        <f ca="1">IF(Steuerung!$B$11="","",IF(EOMONTH(DATE(2025,MATCH("November",{"Januar","Februar","März","April","Mai","Juni","Juli","August","September","Oktober","November","Dezember"},0),1),0)&lt;=TODAY()-Steuerung!$C$27,"R","F"))</f>
        <v/>
      </c>
    </row>
    <row r="84" spans="12:16" ht="15" customHeight="1" x14ac:dyDescent="0.25">
      <c r="L84" s="29" t="s">
        <v>46</v>
      </c>
      <c r="M84" s="30" t="str">
        <f>IF(OR(Steuerung!$B$11="",NOT(OR($E$4="Alle",$E$4="2025"))),"",SUMIFS('Leads Rohdaten'!$D$4:$D$503,'Leads Rohdaten'!$C$4:$C$503,Steuerung!$B$11,'Leads Rohdaten'!$A$4:$A$503,2025,'Leads Rohdaten'!$B$4:$B$503,"Dezember"))</f>
        <v/>
      </c>
      <c r="N84" s="30" t="str">
        <f>IF(OR(Steuerung!$B$11="",NOT(OR($E$4="Alle",$E$4="2025"))),"",SUMIFS('Leads Rohdaten'!$E$4:$E$503,'Leads Rohdaten'!$C$4:$C$503,Steuerung!$B$11,'Leads Rohdaten'!$A$4:$A$503,2025,'Leads Rohdaten'!$B$4:$B$503,"Dezember"))</f>
        <v/>
      </c>
      <c r="O84" s="31" t="str">
        <f t="shared" si="9"/>
        <v>–</v>
      </c>
      <c r="P84" s="32" t="str">
        <f ca="1">IF(Steuerung!$B$11="","",IF(EOMONTH(DATE(2025,MATCH("Dezember",{"Januar","Februar","März","April","Mai","Juni","Juli","August","September","Oktober","November","Dezember"},0),1),0)&lt;=TODAY()-Steuerung!$C$27,"R","F"))</f>
        <v/>
      </c>
    </row>
    <row r="85" spans="12:16" ht="15" customHeight="1" x14ac:dyDescent="0.25">
      <c r="L85" s="25" t="s">
        <v>48</v>
      </c>
      <c r="M85" s="26" t="str">
        <f>IF(OR(Steuerung!$B$11="",NOT(OR($E$4="Alle",$E$4="2026"))),"",SUMIFS('Leads Rohdaten'!$D$4:$D$503,'Leads Rohdaten'!$C$4:$C$503,Steuerung!$B$11,'Leads Rohdaten'!$A$4:$A$503,2026,'Leads Rohdaten'!$B$4:$B$503,"Januar"))</f>
        <v/>
      </c>
      <c r="N85" s="26" t="str">
        <f>IF(OR(Steuerung!$B$11="",NOT(OR($E$4="Alle",$E$4="2026"))),"",SUMIFS('Leads Rohdaten'!$E$4:$E$503,'Leads Rohdaten'!$C$4:$C$503,Steuerung!$B$11,'Leads Rohdaten'!$A$4:$A$503,2026,'Leads Rohdaten'!$B$4:$B$503,"Januar"))</f>
        <v/>
      </c>
      <c r="O85" s="27" t="str">
        <f t="shared" si="9"/>
        <v>–</v>
      </c>
      <c r="P85" s="28" t="str">
        <f ca="1">IF(Steuerung!$B$11="","",IF(EOMONTH(DATE(2026,MATCH("Januar",{"Januar","Februar","März","April","Mai","Juni","Juli","August","September","Oktober","November","Dezember"},0),1),0)&lt;=TODAY()-Steuerung!$C$27,"R","F"))</f>
        <v/>
      </c>
    </row>
    <row r="86" spans="12:16" ht="15" customHeight="1" x14ac:dyDescent="0.25">
      <c r="L86" s="29" t="s">
        <v>50</v>
      </c>
      <c r="M86" s="30" t="str">
        <f>IF(OR(Steuerung!$B$11="",NOT(OR($E$4="Alle",$E$4="2026"))),"",SUMIFS('Leads Rohdaten'!$D$4:$D$503,'Leads Rohdaten'!$C$4:$C$503,Steuerung!$B$11,'Leads Rohdaten'!$A$4:$A$503,2026,'Leads Rohdaten'!$B$4:$B$503,"Februar"))</f>
        <v/>
      </c>
      <c r="N86" s="30" t="str">
        <f>IF(OR(Steuerung!$B$11="",NOT(OR($E$4="Alle",$E$4="2026"))),"",SUMIFS('Leads Rohdaten'!$E$4:$E$503,'Leads Rohdaten'!$C$4:$C$503,Steuerung!$B$11,'Leads Rohdaten'!$A$4:$A$503,2026,'Leads Rohdaten'!$B$4:$B$503,"Februar"))</f>
        <v/>
      </c>
      <c r="O86" s="31" t="str">
        <f t="shared" si="9"/>
        <v>–</v>
      </c>
      <c r="P86" s="32" t="str">
        <f ca="1">IF(Steuerung!$B$11="","",IF(EOMONTH(DATE(2026,MATCH("Februar",{"Januar","Februar","März","April","Mai","Juni","Juli","August","September","Oktober","November","Dezember"},0),1),0)&lt;=TODAY()-Steuerung!$C$27,"R","F"))</f>
        <v/>
      </c>
    </row>
    <row r="87" spans="12:16" ht="15" customHeight="1" x14ac:dyDescent="0.25">
      <c r="L87" s="25" t="s">
        <v>52</v>
      </c>
      <c r="M87" s="26" t="str">
        <f>IF(OR(Steuerung!$B$11="",NOT(OR($E$4="Alle",$E$4="2026"))),"",SUMIFS('Leads Rohdaten'!$D$4:$D$503,'Leads Rohdaten'!$C$4:$C$503,Steuerung!$B$11,'Leads Rohdaten'!$A$4:$A$503,2026,'Leads Rohdaten'!$B$4:$B$503,"März"))</f>
        <v/>
      </c>
      <c r="N87" s="26" t="str">
        <f>IF(OR(Steuerung!$B$11="",NOT(OR($E$4="Alle",$E$4="2026"))),"",SUMIFS('Leads Rohdaten'!$E$4:$E$503,'Leads Rohdaten'!$C$4:$C$503,Steuerung!$B$11,'Leads Rohdaten'!$A$4:$A$503,2026,'Leads Rohdaten'!$B$4:$B$503,"März"))</f>
        <v/>
      </c>
      <c r="O87" s="27" t="str">
        <f t="shared" si="9"/>
        <v>–</v>
      </c>
      <c r="P87" s="28" t="str">
        <f ca="1">IF(Steuerung!$B$11="","",IF(EOMONTH(DATE(2026,MATCH("März",{"Januar","Februar","März","April","Mai","Juni","Juli","August","September","Oktober","November","Dezember"},0),1),0)&lt;=TODAY()-Steuerung!$C$27,"R","F"))</f>
        <v/>
      </c>
    </row>
    <row r="88" spans="12:16" ht="15" customHeight="1" x14ac:dyDescent="0.25">
      <c r="L88" s="29" t="s">
        <v>54</v>
      </c>
      <c r="M88" s="30" t="str">
        <f>IF(OR(Steuerung!$B$11="",NOT(OR($E$4="Alle",$E$4="2026"))),"",SUMIFS('Leads Rohdaten'!$D$4:$D$503,'Leads Rohdaten'!$C$4:$C$503,Steuerung!$B$11,'Leads Rohdaten'!$A$4:$A$503,2026,'Leads Rohdaten'!$B$4:$B$503,"April"))</f>
        <v/>
      </c>
      <c r="N88" s="30" t="str">
        <f>IF(OR(Steuerung!$B$11="",NOT(OR($E$4="Alle",$E$4="2026"))),"",SUMIFS('Leads Rohdaten'!$E$4:$E$503,'Leads Rohdaten'!$C$4:$C$503,Steuerung!$B$11,'Leads Rohdaten'!$A$4:$A$503,2026,'Leads Rohdaten'!$B$4:$B$503,"April"))</f>
        <v/>
      </c>
      <c r="O88" s="31" t="str">
        <f t="shared" si="9"/>
        <v>–</v>
      </c>
      <c r="P88" s="32" t="str">
        <f ca="1">IF(Steuerung!$B$11="","",IF(EOMONTH(DATE(2026,MATCH("April",{"Januar","Februar","März","April","Mai","Juni","Juli","August","September","Oktober","November","Dezember"},0),1),0)&lt;=TODAY()-Steuerung!$C$27,"R","F"))</f>
        <v/>
      </c>
    </row>
    <row r="89" spans="12:16" ht="15" customHeight="1" x14ac:dyDescent="0.25">
      <c r="L89" s="25" t="s">
        <v>56</v>
      </c>
      <c r="M89" s="26" t="str">
        <f>IF(OR(Steuerung!$B$11="",NOT(OR($E$4="Alle",$E$4="2026"))),"",SUMIFS('Leads Rohdaten'!$D$4:$D$503,'Leads Rohdaten'!$C$4:$C$503,Steuerung!$B$11,'Leads Rohdaten'!$A$4:$A$503,2026,'Leads Rohdaten'!$B$4:$B$503,"Mai"))</f>
        <v/>
      </c>
      <c r="N89" s="26" t="str">
        <f>IF(OR(Steuerung!$B$11="",NOT(OR($E$4="Alle",$E$4="2026"))),"",SUMIFS('Leads Rohdaten'!$E$4:$E$503,'Leads Rohdaten'!$C$4:$C$503,Steuerung!$B$11,'Leads Rohdaten'!$A$4:$A$503,2026,'Leads Rohdaten'!$B$4:$B$503,"Mai"))</f>
        <v/>
      </c>
      <c r="O89" s="27" t="str">
        <f t="shared" si="9"/>
        <v>–</v>
      </c>
      <c r="P89" s="28" t="str">
        <f ca="1">IF(Steuerung!$B$11="","",IF(EOMONTH(DATE(2026,MATCH("Mai",{"Januar","Februar","März","April","Mai","Juni","Juli","August","September","Oktober","November","Dezember"},0),1),0)&lt;=TODAY()-Steuerung!$C$27,"R","F"))</f>
        <v/>
      </c>
    </row>
    <row r="90" spans="12:16" ht="15" customHeight="1" x14ac:dyDescent="0.25">
      <c r="L90" s="29" t="s">
        <v>58</v>
      </c>
      <c r="M90" s="30" t="str">
        <f>IF(OR(Steuerung!$B$11="",NOT(OR($E$4="Alle",$E$4="2026"))),"",SUMIFS('Leads Rohdaten'!$D$4:$D$503,'Leads Rohdaten'!$C$4:$C$503,Steuerung!$B$11,'Leads Rohdaten'!$A$4:$A$503,2026,'Leads Rohdaten'!$B$4:$B$503,"Juni"))</f>
        <v/>
      </c>
      <c r="N90" s="30" t="str">
        <f>IF(OR(Steuerung!$B$11="",NOT(OR($E$4="Alle",$E$4="2026"))),"",SUMIFS('Leads Rohdaten'!$E$4:$E$503,'Leads Rohdaten'!$C$4:$C$503,Steuerung!$B$11,'Leads Rohdaten'!$A$4:$A$503,2026,'Leads Rohdaten'!$B$4:$B$503,"Juni"))</f>
        <v/>
      </c>
      <c r="O90" s="31" t="str">
        <f t="shared" si="9"/>
        <v>–</v>
      </c>
      <c r="P90" s="32" t="str">
        <f ca="1">IF(Steuerung!$B$11="","",IF(EOMONTH(DATE(2026,MATCH("Juni",{"Januar","Februar","März","April","Mai","Juni","Juli","August","September","Oktober","November","Dezember"},0),1),0)&lt;=TODAY()-Steuerung!$C$27,"R","F"))</f>
        <v/>
      </c>
    </row>
  </sheetData>
  <mergeCells count="21">
    <mergeCell ref="A1:I1"/>
    <mergeCell ref="L1:P1"/>
    <mergeCell ref="B2:C2"/>
    <mergeCell ref="L2:M2"/>
    <mergeCell ref="O2:P2"/>
    <mergeCell ref="B3:C3"/>
    <mergeCell ref="L3:M3"/>
    <mergeCell ref="O3:P3"/>
    <mergeCell ref="A4:D4"/>
    <mergeCell ref="E4:F4"/>
    <mergeCell ref="G4:J4"/>
    <mergeCell ref="L4:P4"/>
    <mergeCell ref="L48:P48"/>
    <mergeCell ref="L59:P59"/>
    <mergeCell ref="L70:P70"/>
    <mergeCell ref="L81:P81"/>
    <mergeCell ref="L5:P5"/>
    <mergeCell ref="L15:P15"/>
    <mergeCell ref="L25:P25"/>
    <mergeCell ref="L26:P26"/>
    <mergeCell ref="L37:P37"/>
  </mergeCells>
  <dataValidations count="1">
    <dataValidation type="list" sqref="E4" xr:uid="{00000000-0002-0000-0000-000000000000}">
      <formula1>"Alle,2025,2026"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1B2A4A"/>
  </sheetPr>
  <dimension ref="A1:K186"/>
  <sheetViews>
    <sheetView tabSelected="1" zoomScaleNormal="100" workbookViewId="0">
      <pane ySplit="1" topLeftCell="A151" activePane="bottomLeft" state="frozen"/>
      <selection pane="bottomLeft" activeCell="F172" sqref="F172"/>
    </sheetView>
  </sheetViews>
  <sheetFormatPr baseColWidth="10" defaultColWidth="9.140625" defaultRowHeight="15" x14ac:dyDescent="0.25"/>
  <cols>
    <col min="1" max="1" width="8" customWidth="1"/>
    <col min="2" max="2" width="12" customWidth="1"/>
    <col min="3" max="3" width="7" customWidth="1"/>
    <col min="4" max="4" width="11" customWidth="1"/>
    <col min="5" max="5" width="20" customWidth="1"/>
    <col min="6" max="6" width="36" customWidth="1"/>
    <col min="7" max="7" width="20" customWidth="1"/>
    <col min="8" max="8" width="16" customWidth="1"/>
    <col min="9" max="9" width="18" customWidth="1"/>
    <col min="10" max="10" width="24" customWidth="1"/>
    <col min="11" max="1024" width="8.7109375" customWidth="1"/>
  </cols>
  <sheetData>
    <row r="1" spans="1:11" ht="34.5" customHeight="1" x14ac:dyDescent="0.25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</row>
    <row r="2" spans="1:11" ht="15" customHeight="1" x14ac:dyDescent="0.25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</row>
    <row r="3" spans="1:11" ht="25.5" customHeight="1" x14ac:dyDescent="0.25">
      <c r="A3" s="35" t="s">
        <v>7</v>
      </c>
      <c r="B3" s="35" t="s">
        <v>62</v>
      </c>
      <c r="C3" s="35" t="s">
        <v>63</v>
      </c>
      <c r="D3" s="35" t="s">
        <v>64</v>
      </c>
      <c r="E3" s="35" t="s">
        <v>12</v>
      </c>
      <c r="F3" s="35" t="s">
        <v>65</v>
      </c>
      <c r="G3" s="35" t="s">
        <v>66</v>
      </c>
      <c r="H3" s="35" t="s">
        <v>67</v>
      </c>
      <c r="I3" s="36" t="s">
        <v>68</v>
      </c>
      <c r="J3" s="35" t="s">
        <v>69</v>
      </c>
      <c r="K3" s="35" t="s">
        <v>70</v>
      </c>
    </row>
    <row r="4" spans="1:11" ht="15" hidden="1" customHeight="1" x14ac:dyDescent="0.25">
      <c r="A4" s="37" t="s">
        <v>11</v>
      </c>
      <c r="B4" s="37" t="s">
        <v>71</v>
      </c>
      <c r="C4" s="37">
        <v>2026</v>
      </c>
      <c r="D4" s="37" t="s">
        <v>72</v>
      </c>
      <c r="E4" s="37" t="s">
        <v>73</v>
      </c>
      <c r="F4" s="38" t="s">
        <v>74</v>
      </c>
      <c r="G4" s="37" t="s">
        <v>75</v>
      </c>
      <c r="H4" s="39" t="s">
        <v>76</v>
      </c>
      <c r="I4" s="40"/>
      <c r="J4" s="37" t="s">
        <v>77</v>
      </c>
      <c r="K4" s="37"/>
    </row>
    <row r="5" spans="1:11" ht="15" hidden="1" customHeight="1" x14ac:dyDescent="0.25">
      <c r="A5" s="41" t="s">
        <v>11</v>
      </c>
      <c r="B5" s="41" t="s">
        <v>71</v>
      </c>
      <c r="C5" s="41">
        <v>2026</v>
      </c>
      <c r="D5" s="41" t="s">
        <v>72</v>
      </c>
      <c r="E5" s="41" t="s">
        <v>73</v>
      </c>
      <c r="F5" s="42" t="s">
        <v>78</v>
      </c>
      <c r="G5" s="41" t="s">
        <v>79</v>
      </c>
      <c r="H5" s="43" t="s">
        <v>76</v>
      </c>
      <c r="I5" s="44"/>
      <c r="J5" s="41" t="s">
        <v>77</v>
      </c>
      <c r="K5" s="41"/>
    </row>
    <row r="6" spans="1:11" ht="15" hidden="1" customHeight="1" x14ac:dyDescent="0.25">
      <c r="A6" s="37" t="s">
        <v>11</v>
      </c>
      <c r="B6" s="37" t="s">
        <v>80</v>
      </c>
      <c r="C6" s="37">
        <v>2026</v>
      </c>
      <c r="D6" s="37" t="s">
        <v>72</v>
      </c>
      <c r="E6" s="37" t="s">
        <v>81</v>
      </c>
      <c r="F6" s="38" t="s">
        <v>82</v>
      </c>
      <c r="G6" s="37" t="s">
        <v>75</v>
      </c>
      <c r="H6" s="45" t="s">
        <v>83</v>
      </c>
      <c r="I6" s="46" t="s">
        <v>72</v>
      </c>
      <c r="J6" s="37" t="s">
        <v>77</v>
      </c>
      <c r="K6" s="37"/>
    </row>
    <row r="7" spans="1:11" ht="25.5" customHeight="1" x14ac:dyDescent="0.25">
      <c r="A7" s="41" t="s">
        <v>16</v>
      </c>
      <c r="B7" s="41" t="s">
        <v>84</v>
      </c>
      <c r="C7" s="41">
        <v>2026</v>
      </c>
      <c r="D7" s="41" t="s">
        <v>72</v>
      </c>
      <c r="E7" s="41" t="s">
        <v>85</v>
      </c>
      <c r="F7" s="42" t="s">
        <v>86</v>
      </c>
      <c r="G7" s="41" t="s">
        <v>75</v>
      </c>
      <c r="H7" s="43" t="s">
        <v>76</v>
      </c>
      <c r="I7" s="44"/>
      <c r="J7" s="41" t="s">
        <v>77</v>
      </c>
      <c r="K7" s="41"/>
    </row>
    <row r="8" spans="1:11" ht="15" customHeight="1" x14ac:dyDescent="0.25">
      <c r="A8" s="37" t="s">
        <v>17</v>
      </c>
      <c r="B8" s="37" t="s">
        <v>87</v>
      </c>
      <c r="C8" s="37">
        <v>2026</v>
      </c>
      <c r="D8" s="37" t="s">
        <v>72</v>
      </c>
      <c r="E8" s="37" t="s">
        <v>85</v>
      </c>
      <c r="F8" s="38" t="s">
        <v>88</v>
      </c>
      <c r="G8" s="37" t="s">
        <v>75</v>
      </c>
      <c r="H8" s="39" t="s">
        <v>76</v>
      </c>
      <c r="I8" s="40"/>
      <c r="J8" s="37" t="s">
        <v>77</v>
      </c>
      <c r="K8" s="37"/>
    </row>
    <row r="9" spans="1:11" ht="15" hidden="1" customHeight="1" x14ac:dyDescent="0.25">
      <c r="A9" s="41" t="s">
        <v>17</v>
      </c>
      <c r="B9" s="41" t="s">
        <v>89</v>
      </c>
      <c r="C9" s="41">
        <v>2026</v>
      </c>
      <c r="D9" s="41" t="s">
        <v>72</v>
      </c>
      <c r="E9" s="41" t="s">
        <v>90</v>
      </c>
      <c r="F9" s="42" t="s">
        <v>91</v>
      </c>
      <c r="G9" s="41" t="s">
        <v>75</v>
      </c>
      <c r="H9" s="43" t="s">
        <v>76</v>
      </c>
      <c r="I9" s="44"/>
      <c r="J9" s="41" t="s">
        <v>77</v>
      </c>
      <c r="K9" s="41"/>
    </row>
    <row r="10" spans="1:11" ht="15" hidden="1" customHeight="1" x14ac:dyDescent="0.25">
      <c r="A10" s="37" t="s">
        <v>17</v>
      </c>
      <c r="B10" s="37" t="s">
        <v>92</v>
      </c>
      <c r="C10" s="37">
        <v>2026</v>
      </c>
      <c r="D10" s="37" t="s">
        <v>72</v>
      </c>
      <c r="E10" s="37" t="s">
        <v>81</v>
      </c>
      <c r="F10" s="38" t="s">
        <v>93</v>
      </c>
      <c r="G10" s="37" t="s">
        <v>75</v>
      </c>
      <c r="H10" s="47" t="s">
        <v>94</v>
      </c>
      <c r="I10" s="40"/>
      <c r="J10" s="37" t="s">
        <v>77</v>
      </c>
      <c r="K10" s="37"/>
    </row>
    <row r="11" spans="1:11" ht="15" hidden="1" customHeight="1" x14ac:dyDescent="0.25">
      <c r="A11" s="41" t="s">
        <v>17</v>
      </c>
      <c r="B11" s="41" t="s">
        <v>92</v>
      </c>
      <c r="C11" s="41">
        <v>2026</v>
      </c>
      <c r="D11" s="41" t="s">
        <v>72</v>
      </c>
      <c r="E11" s="41" t="s">
        <v>81</v>
      </c>
      <c r="F11" s="42" t="s">
        <v>95</v>
      </c>
      <c r="G11" s="41" t="s">
        <v>79</v>
      </c>
      <c r="H11" s="48" t="s">
        <v>96</v>
      </c>
      <c r="I11" s="44"/>
      <c r="J11" s="41" t="s">
        <v>77</v>
      </c>
      <c r="K11" s="41"/>
    </row>
    <row r="12" spans="1:11" ht="15" hidden="1" customHeight="1" x14ac:dyDescent="0.25">
      <c r="A12" s="37" t="s">
        <v>17</v>
      </c>
      <c r="B12" s="37" t="s">
        <v>92</v>
      </c>
      <c r="C12" s="37">
        <v>2026</v>
      </c>
      <c r="D12" s="37" t="s">
        <v>72</v>
      </c>
      <c r="E12" s="37" t="s">
        <v>81</v>
      </c>
      <c r="F12" s="38" t="s">
        <v>97</v>
      </c>
      <c r="G12" s="37" t="s">
        <v>75</v>
      </c>
      <c r="H12" s="45" t="s">
        <v>83</v>
      </c>
      <c r="I12" s="46" t="s">
        <v>72</v>
      </c>
      <c r="J12" s="37" t="s">
        <v>77</v>
      </c>
      <c r="K12" s="37"/>
    </row>
    <row r="13" spans="1:11" ht="15" hidden="1" customHeight="1" x14ac:dyDescent="0.25">
      <c r="A13" s="41" t="s">
        <v>18</v>
      </c>
      <c r="B13" s="41" t="s">
        <v>98</v>
      </c>
      <c r="C13" s="41">
        <v>2026</v>
      </c>
      <c r="D13" s="41" t="s">
        <v>72</v>
      </c>
      <c r="E13" s="41" t="s">
        <v>73</v>
      </c>
      <c r="F13" s="42" t="s">
        <v>99</v>
      </c>
      <c r="G13" s="41" t="s">
        <v>79</v>
      </c>
      <c r="H13" s="43" t="s">
        <v>76</v>
      </c>
      <c r="I13" s="44"/>
      <c r="J13" s="41" t="s">
        <v>77</v>
      </c>
      <c r="K13" s="41"/>
    </row>
    <row r="14" spans="1:11" ht="15" hidden="1" customHeight="1" x14ac:dyDescent="0.25">
      <c r="A14" s="37" t="s">
        <v>18</v>
      </c>
      <c r="B14" s="37" t="s">
        <v>98</v>
      </c>
      <c r="C14" s="37">
        <v>2026</v>
      </c>
      <c r="D14" s="37" t="s">
        <v>72</v>
      </c>
      <c r="E14" s="37" t="s">
        <v>73</v>
      </c>
      <c r="F14" s="38" t="s">
        <v>100</v>
      </c>
      <c r="G14" s="37" t="s">
        <v>79</v>
      </c>
      <c r="H14" s="39" t="s">
        <v>76</v>
      </c>
      <c r="I14" s="40"/>
      <c r="J14" s="37" t="s">
        <v>77</v>
      </c>
      <c r="K14" s="37"/>
    </row>
    <row r="15" spans="1:11" ht="15" hidden="1" customHeight="1" x14ac:dyDescent="0.25">
      <c r="A15" s="41" t="s">
        <v>18</v>
      </c>
      <c r="B15" s="41" t="s">
        <v>98</v>
      </c>
      <c r="C15" s="41">
        <v>2026</v>
      </c>
      <c r="D15" s="41" t="s">
        <v>72</v>
      </c>
      <c r="E15" s="41" t="s">
        <v>81</v>
      </c>
      <c r="F15" s="42" t="s">
        <v>101</v>
      </c>
      <c r="G15" s="41" t="s">
        <v>102</v>
      </c>
      <c r="H15" s="49" t="s">
        <v>103</v>
      </c>
      <c r="I15" s="44"/>
      <c r="J15" s="41" t="s">
        <v>77</v>
      </c>
      <c r="K15" s="41"/>
    </row>
    <row r="16" spans="1:11" ht="15" hidden="1" customHeight="1" x14ac:dyDescent="0.25">
      <c r="A16" s="37" t="s">
        <v>18</v>
      </c>
      <c r="B16" s="37" t="s">
        <v>98</v>
      </c>
      <c r="C16" s="37">
        <v>2026</v>
      </c>
      <c r="D16" s="37" t="s">
        <v>72</v>
      </c>
      <c r="E16" s="37" t="s">
        <v>104</v>
      </c>
      <c r="F16" s="38" t="s">
        <v>105</v>
      </c>
      <c r="G16" s="37" t="s">
        <v>106</v>
      </c>
      <c r="H16" s="50" t="s">
        <v>107</v>
      </c>
      <c r="I16" s="40"/>
      <c r="J16" s="37" t="s">
        <v>77</v>
      </c>
      <c r="K16" s="37"/>
    </row>
    <row r="17" spans="1:11" ht="15" hidden="1" customHeight="1" x14ac:dyDescent="0.25">
      <c r="A17" s="41" t="s">
        <v>18</v>
      </c>
      <c r="B17" s="41" t="s">
        <v>98</v>
      </c>
      <c r="C17" s="41">
        <v>2026</v>
      </c>
      <c r="D17" s="41" t="s">
        <v>72</v>
      </c>
      <c r="E17" s="41" t="s">
        <v>104</v>
      </c>
      <c r="F17" s="42" t="s">
        <v>105</v>
      </c>
      <c r="G17" s="41" t="s">
        <v>108</v>
      </c>
      <c r="H17" s="51" t="s">
        <v>107</v>
      </c>
      <c r="I17" s="44"/>
      <c r="J17" s="41" t="s">
        <v>77</v>
      </c>
      <c r="K17" s="41"/>
    </row>
    <row r="18" spans="1:11" ht="15" hidden="1" customHeight="1" x14ac:dyDescent="0.25">
      <c r="A18" s="37" t="s">
        <v>18</v>
      </c>
      <c r="B18" s="37" t="s">
        <v>109</v>
      </c>
      <c r="C18" s="37">
        <v>2026</v>
      </c>
      <c r="D18" s="37" t="s">
        <v>72</v>
      </c>
      <c r="E18" s="37" t="s">
        <v>81</v>
      </c>
      <c r="F18" s="38" t="s">
        <v>110</v>
      </c>
      <c r="G18" s="37" t="s">
        <v>106</v>
      </c>
      <c r="H18" s="52" t="s">
        <v>111</v>
      </c>
      <c r="I18" s="40"/>
      <c r="J18" s="37" t="s">
        <v>77</v>
      </c>
      <c r="K18" s="37"/>
    </row>
    <row r="19" spans="1:11" ht="15" hidden="1" customHeight="1" x14ac:dyDescent="0.25">
      <c r="A19" s="41" t="s">
        <v>18</v>
      </c>
      <c r="B19" s="41" t="s">
        <v>109</v>
      </c>
      <c r="C19" s="41">
        <v>2026</v>
      </c>
      <c r="D19" s="41" t="s">
        <v>72</v>
      </c>
      <c r="E19" s="41" t="s">
        <v>81</v>
      </c>
      <c r="F19" s="42" t="s">
        <v>110</v>
      </c>
      <c r="G19" s="41" t="s">
        <v>112</v>
      </c>
      <c r="H19" s="53" t="s">
        <v>111</v>
      </c>
      <c r="I19" s="44"/>
      <c r="J19" s="41" t="s">
        <v>77</v>
      </c>
      <c r="K19" s="41"/>
    </row>
    <row r="20" spans="1:11" ht="25.5" customHeight="1" x14ac:dyDescent="0.25">
      <c r="A20" s="37" t="s">
        <v>18</v>
      </c>
      <c r="B20" s="37" t="s">
        <v>113</v>
      </c>
      <c r="C20" s="37">
        <v>2026</v>
      </c>
      <c r="D20" s="37" t="s">
        <v>72</v>
      </c>
      <c r="E20" s="37" t="s">
        <v>85</v>
      </c>
      <c r="F20" s="38" t="s">
        <v>114</v>
      </c>
      <c r="G20" s="37" t="s">
        <v>75</v>
      </c>
      <c r="H20" s="39" t="s">
        <v>76</v>
      </c>
      <c r="I20" s="40"/>
      <c r="J20" s="37" t="s">
        <v>77</v>
      </c>
      <c r="K20" s="37"/>
    </row>
    <row r="21" spans="1:11" ht="25.5" hidden="1" customHeight="1" x14ac:dyDescent="0.25">
      <c r="A21" s="41" t="s">
        <v>18</v>
      </c>
      <c r="B21" s="41" t="s">
        <v>113</v>
      </c>
      <c r="C21" s="41">
        <v>2026</v>
      </c>
      <c r="D21" s="41" t="s">
        <v>72</v>
      </c>
      <c r="E21" s="41" t="s">
        <v>104</v>
      </c>
      <c r="F21" s="42" t="s">
        <v>115</v>
      </c>
      <c r="G21" s="41" t="s">
        <v>106</v>
      </c>
      <c r="H21" s="43" t="s">
        <v>76</v>
      </c>
      <c r="I21" s="44"/>
      <c r="J21" s="41" t="s">
        <v>77</v>
      </c>
      <c r="K21" s="41"/>
    </row>
    <row r="22" spans="1:11" ht="15" hidden="1" customHeight="1" x14ac:dyDescent="0.25">
      <c r="A22" s="37" t="s">
        <v>18</v>
      </c>
      <c r="B22" s="37" t="s">
        <v>113</v>
      </c>
      <c r="C22" s="37">
        <v>2026</v>
      </c>
      <c r="D22" s="37" t="s">
        <v>72</v>
      </c>
      <c r="E22" s="37" t="s">
        <v>116</v>
      </c>
      <c r="F22" s="38" t="s">
        <v>117</v>
      </c>
      <c r="G22" s="37" t="s">
        <v>108</v>
      </c>
      <c r="H22" s="39" t="s">
        <v>76</v>
      </c>
      <c r="I22" s="40"/>
      <c r="J22" s="37" t="s">
        <v>77</v>
      </c>
      <c r="K22" s="37"/>
    </row>
    <row r="23" spans="1:11" ht="15" hidden="1" customHeight="1" x14ac:dyDescent="0.25">
      <c r="A23" s="41" t="s">
        <v>19</v>
      </c>
      <c r="B23" s="41" t="s">
        <v>118</v>
      </c>
      <c r="C23" s="41">
        <v>2026</v>
      </c>
      <c r="D23" s="41" t="s">
        <v>119</v>
      </c>
      <c r="E23" s="41" t="s">
        <v>120</v>
      </c>
      <c r="F23" s="42" t="s">
        <v>121</v>
      </c>
      <c r="G23" s="41" t="s">
        <v>75</v>
      </c>
      <c r="H23" s="43" t="s">
        <v>76</v>
      </c>
      <c r="I23" s="44"/>
      <c r="J23" s="41" t="s">
        <v>77</v>
      </c>
      <c r="K23" s="41"/>
    </row>
    <row r="24" spans="1:11" ht="15" hidden="1" customHeight="1" x14ac:dyDescent="0.25">
      <c r="A24" s="37" t="s">
        <v>19</v>
      </c>
      <c r="B24" s="37" t="s">
        <v>118</v>
      </c>
      <c r="C24" s="37">
        <v>2026</v>
      </c>
      <c r="D24" s="37" t="s">
        <v>119</v>
      </c>
      <c r="E24" s="37" t="s">
        <v>81</v>
      </c>
      <c r="F24" s="38" t="s">
        <v>122</v>
      </c>
      <c r="G24" s="37" t="s">
        <v>75</v>
      </c>
      <c r="H24" s="45" t="s">
        <v>83</v>
      </c>
      <c r="I24" s="46" t="s">
        <v>119</v>
      </c>
      <c r="J24" s="37" t="s">
        <v>77</v>
      </c>
      <c r="K24" s="37"/>
    </row>
    <row r="25" spans="1:11" ht="15" hidden="1" customHeight="1" x14ac:dyDescent="0.25">
      <c r="A25" s="41" t="s">
        <v>19</v>
      </c>
      <c r="B25" s="41" t="s">
        <v>118</v>
      </c>
      <c r="C25" s="41">
        <v>2026</v>
      </c>
      <c r="D25" s="41" t="s">
        <v>119</v>
      </c>
      <c r="E25" s="41" t="s">
        <v>81</v>
      </c>
      <c r="F25" s="42" t="s">
        <v>123</v>
      </c>
      <c r="G25" s="41" t="s">
        <v>75</v>
      </c>
      <c r="H25" s="54" t="s">
        <v>83</v>
      </c>
      <c r="I25" s="55" t="s">
        <v>119</v>
      </c>
      <c r="J25" s="41" t="s">
        <v>77</v>
      </c>
      <c r="K25" s="41"/>
    </row>
    <row r="26" spans="1:11" ht="15" hidden="1" customHeight="1" x14ac:dyDescent="0.25">
      <c r="A26" s="37" t="s">
        <v>19</v>
      </c>
      <c r="B26" s="37" t="s">
        <v>118</v>
      </c>
      <c r="C26" s="37">
        <v>2026</v>
      </c>
      <c r="D26" s="37" t="s">
        <v>119</v>
      </c>
      <c r="E26" s="37" t="s">
        <v>81</v>
      </c>
      <c r="F26" s="38" t="s">
        <v>124</v>
      </c>
      <c r="G26" s="37" t="s">
        <v>125</v>
      </c>
      <c r="H26" s="45" t="s">
        <v>83</v>
      </c>
      <c r="I26" s="46" t="s">
        <v>119</v>
      </c>
      <c r="J26" s="37" t="s">
        <v>77</v>
      </c>
      <c r="K26" s="37"/>
    </row>
    <row r="27" spans="1:11" ht="15" hidden="1" customHeight="1" x14ac:dyDescent="0.25">
      <c r="A27" s="41" t="s">
        <v>19</v>
      </c>
      <c r="B27" s="41" t="s">
        <v>126</v>
      </c>
      <c r="C27" s="41">
        <v>2026</v>
      </c>
      <c r="D27" s="41" t="s">
        <v>119</v>
      </c>
      <c r="E27" s="41" t="s">
        <v>73</v>
      </c>
      <c r="F27" s="42" t="s">
        <v>127</v>
      </c>
      <c r="G27" s="41" t="s">
        <v>79</v>
      </c>
      <c r="H27" s="43" t="s">
        <v>76</v>
      </c>
      <c r="I27" s="44"/>
      <c r="J27" s="41" t="s">
        <v>77</v>
      </c>
      <c r="K27" s="41"/>
    </row>
    <row r="28" spans="1:11" ht="15" hidden="1" customHeight="1" x14ac:dyDescent="0.25">
      <c r="A28" s="37" t="s">
        <v>19</v>
      </c>
      <c r="B28" s="37" t="s">
        <v>126</v>
      </c>
      <c r="C28" s="37">
        <v>2026</v>
      </c>
      <c r="D28" s="37" t="s">
        <v>119</v>
      </c>
      <c r="E28" s="37" t="s">
        <v>73</v>
      </c>
      <c r="F28" s="38" t="s">
        <v>128</v>
      </c>
      <c r="G28" s="37" t="s">
        <v>75</v>
      </c>
      <c r="H28" s="39" t="s">
        <v>76</v>
      </c>
      <c r="I28" s="40"/>
      <c r="J28" s="37" t="s">
        <v>77</v>
      </c>
      <c r="K28" s="37"/>
    </row>
    <row r="29" spans="1:11" ht="25.5" hidden="1" customHeight="1" x14ac:dyDescent="0.25">
      <c r="A29" s="41" t="s">
        <v>19</v>
      </c>
      <c r="B29" s="41" t="s">
        <v>126</v>
      </c>
      <c r="C29" s="41">
        <v>2026</v>
      </c>
      <c r="D29" s="41" t="s">
        <v>119</v>
      </c>
      <c r="E29" s="41" t="s">
        <v>73</v>
      </c>
      <c r="F29" s="42" t="s">
        <v>129</v>
      </c>
      <c r="G29" s="41" t="s">
        <v>79</v>
      </c>
      <c r="H29" s="43" t="s">
        <v>76</v>
      </c>
      <c r="I29" s="44"/>
      <c r="J29" s="41" t="s">
        <v>77</v>
      </c>
      <c r="K29" s="41"/>
    </row>
    <row r="30" spans="1:11" ht="15" hidden="1" customHeight="1" x14ac:dyDescent="0.25">
      <c r="A30" s="37" t="s">
        <v>19</v>
      </c>
      <c r="B30" s="37" t="s">
        <v>126</v>
      </c>
      <c r="C30" s="37">
        <v>2026</v>
      </c>
      <c r="D30" s="37" t="s">
        <v>119</v>
      </c>
      <c r="E30" s="37" t="s">
        <v>73</v>
      </c>
      <c r="F30" s="38" t="s">
        <v>130</v>
      </c>
      <c r="G30" s="37" t="s">
        <v>79</v>
      </c>
      <c r="H30" s="39" t="s">
        <v>76</v>
      </c>
      <c r="I30" s="40"/>
      <c r="J30" s="37" t="s">
        <v>77</v>
      </c>
      <c r="K30" s="37"/>
    </row>
    <row r="31" spans="1:11" ht="15" hidden="1" customHeight="1" x14ac:dyDescent="0.25">
      <c r="A31" s="41" t="s">
        <v>19</v>
      </c>
      <c r="B31" s="41" t="s">
        <v>126</v>
      </c>
      <c r="C31" s="41">
        <v>2026</v>
      </c>
      <c r="D31" s="41" t="s">
        <v>119</v>
      </c>
      <c r="E31" s="41" t="s">
        <v>73</v>
      </c>
      <c r="F31" s="42" t="s">
        <v>131</v>
      </c>
      <c r="G31" s="41" t="s">
        <v>125</v>
      </c>
      <c r="H31" s="43" t="s">
        <v>76</v>
      </c>
      <c r="I31" s="44"/>
      <c r="J31" s="41" t="s">
        <v>77</v>
      </c>
      <c r="K31" s="41"/>
    </row>
    <row r="32" spans="1:11" ht="15" customHeight="1" x14ac:dyDescent="0.25">
      <c r="A32" s="37" t="s">
        <v>19</v>
      </c>
      <c r="B32" s="37" t="s">
        <v>126</v>
      </c>
      <c r="C32" s="37">
        <v>2026</v>
      </c>
      <c r="D32" s="37" t="s">
        <v>119</v>
      </c>
      <c r="E32" s="37" t="s">
        <v>85</v>
      </c>
      <c r="F32" s="38" t="s">
        <v>132</v>
      </c>
      <c r="G32" s="37" t="s">
        <v>112</v>
      </c>
      <c r="H32" s="39" t="s">
        <v>76</v>
      </c>
      <c r="I32" s="40"/>
      <c r="J32" s="37" t="s">
        <v>77</v>
      </c>
      <c r="K32" s="37"/>
    </row>
    <row r="33" spans="1:11" ht="15" hidden="1" customHeight="1" x14ac:dyDescent="0.25">
      <c r="A33" s="41" t="s">
        <v>20</v>
      </c>
      <c r="B33" s="41" t="s">
        <v>133</v>
      </c>
      <c r="C33" s="41">
        <v>2026</v>
      </c>
      <c r="D33" s="41" t="s">
        <v>119</v>
      </c>
      <c r="E33" s="41" t="s">
        <v>134</v>
      </c>
      <c r="F33" s="42" t="s">
        <v>135</v>
      </c>
      <c r="G33" s="41" t="s">
        <v>75</v>
      </c>
      <c r="H33" s="43" t="s">
        <v>76</v>
      </c>
      <c r="I33" s="44"/>
      <c r="J33" s="41" t="s">
        <v>77</v>
      </c>
      <c r="K33" s="41"/>
    </row>
    <row r="34" spans="1:11" ht="15" hidden="1" customHeight="1" x14ac:dyDescent="0.25">
      <c r="A34" s="37" t="s">
        <v>20</v>
      </c>
      <c r="B34" s="37" t="s">
        <v>133</v>
      </c>
      <c r="C34" s="37">
        <v>2026</v>
      </c>
      <c r="D34" s="37" t="s">
        <v>119</v>
      </c>
      <c r="E34" s="37" t="s">
        <v>81</v>
      </c>
      <c r="F34" s="38" t="s">
        <v>136</v>
      </c>
      <c r="G34" s="37" t="s">
        <v>75</v>
      </c>
      <c r="H34" s="45" t="s">
        <v>83</v>
      </c>
      <c r="I34" s="46" t="s">
        <v>119</v>
      </c>
      <c r="J34" s="37" t="s">
        <v>77</v>
      </c>
      <c r="K34" s="37"/>
    </row>
    <row r="35" spans="1:11" ht="15" hidden="1" customHeight="1" x14ac:dyDescent="0.25">
      <c r="A35" s="41" t="s">
        <v>20</v>
      </c>
      <c r="B35" s="41" t="s">
        <v>133</v>
      </c>
      <c r="C35" s="41">
        <v>2026</v>
      </c>
      <c r="D35" s="41" t="s">
        <v>119</v>
      </c>
      <c r="E35" s="41" t="s">
        <v>81</v>
      </c>
      <c r="F35" s="42" t="s">
        <v>137</v>
      </c>
      <c r="G35" s="41" t="s">
        <v>125</v>
      </c>
      <c r="H35" s="54" t="s">
        <v>83</v>
      </c>
      <c r="I35" s="55" t="s">
        <v>119</v>
      </c>
      <c r="J35" s="41" t="s">
        <v>77</v>
      </c>
      <c r="K35" s="41"/>
    </row>
    <row r="36" spans="1:11" ht="15" hidden="1" customHeight="1" x14ac:dyDescent="0.25">
      <c r="A36" s="37" t="s">
        <v>20</v>
      </c>
      <c r="B36" s="37" t="s">
        <v>138</v>
      </c>
      <c r="C36" s="37">
        <v>2026</v>
      </c>
      <c r="D36" s="37" t="s">
        <v>119</v>
      </c>
      <c r="E36" s="37" t="s">
        <v>81</v>
      </c>
      <c r="F36" s="38" t="s">
        <v>139</v>
      </c>
      <c r="G36" s="37" t="s">
        <v>106</v>
      </c>
      <c r="H36" s="45" t="s">
        <v>83</v>
      </c>
      <c r="I36" s="46" t="s">
        <v>119</v>
      </c>
      <c r="J36" s="37" t="s">
        <v>77</v>
      </c>
      <c r="K36" s="37"/>
    </row>
    <row r="37" spans="1:11" ht="15" hidden="1" customHeight="1" x14ac:dyDescent="0.25">
      <c r="A37" s="41" t="s">
        <v>20</v>
      </c>
      <c r="B37" s="41" t="s">
        <v>138</v>
      </c>
      <c r="C37" s="41">
        <v>2026</v>
      </c>
      <c r="D37" s="41" t="s">
        <v>119</v>
      </c>
      <c r="E37" s="41" t="s">
        <v>81</v>
      </c>
      <c r="F37" s="42" t="s">
        <v>139</v>
      </c>
      <c r="G37" s="41" t="s">
        <v>75</v>
      </c>
      <c r="H37" s="54" t="s">
        <v>83</v>
      </c>
      <c r="I37" s="55" t="s">
        <v>119</v>
      </c>
      <c r="J37" s="41" t="s">
        <v>77</v>
      </c>
      <c r="K37" s="41"/>
    </row>
    <row r="38" spans="1:11" ht="15" hidden="1" customHeight="1" x14ac:dyDescent="0.25">
      <c r="A38" s="37" t="s">
        <v>20</v>
      </c>
      <c r="B38" s="37" t="s">
        <v>138</v>
      </c>
      <c r="C38" s="37">
        <v>2026</v>
      </c>
      <c r="D38" s="37" t="s">
        <v>119</v>
      </c>
      <c r="E38" s="37" t="s">
        <v>81</v>
      </c>
      <c r="F38" s="38" t="s">
        <v>140</v>
      </c>
      <c r="G38" s="37" t="s">
        <v>106</v>
      </c>
      <c r="H38" s="52" t="s">
        <v>111</v>
      </c>
      <c r="I38" s="40"/>
      <c r="J38" s="37" t="s">
        <v>77</v>
      </c>
      <c r="K38" s="37"/>
    </row>
    <row r="39" spans="1:11" ht="15" hidden="1" customHeight="1" x14ac:dyDescent="0.25">
      <c r="A39" s="41" t="s">
        <v>20</v>
      </c>
      <c r="B39" s="41" t="s">
        <v>138</v>
      </c>
      <c r="C39" s="41">
        <v>2026</v>
      </c>
      <c r="D39" s="41" t="s">
        <v>119</v>
      </c>
      <c r="E39" s="41" t="s">
        <v>81</v>
      </c>
      <c r="F39" s="42" t="s">
        <v>140</v>
      </c>
      <c r="G39" s="41" t="s">
        <v>141</v>
      </c>
      <c r="H39" s="53" t="s">
        <v>111</v>
      </c>
      <c r="I39" s="44"/>
      <c r="J39" s="41" t="s">
        <v>77</v>
      </c>
      <c r="K39" s="41"/>
    </row>
    <row r="40" spans="1:11" ht="15" hidden="1" customHeight="1" x14ac:dyDescent="0.25">
      <c r="A40" s="37" t="s">
        <v>20</v>
      </c>
      <c r="B40" s="37" t="s">
        <v>142</v>
      </c>
      <c r="C40" s="37">
        <v>2026</v>
      </c>
      <c r="D40" s="37" t="s">
        <v>119</v>
      </c>
      <c r="E40" s="37" t="s">
        <v>81</v>
      </c>
      <c r="F40" s="38" t="s">
        <v>143</v>
      </c>
      <c r="G40" s="37" t="s">
        <v>79</v>
      </c>
      <c r="H40" s="45" t="s">
        <v>83</v>
      </c>
      <c r="I40" s="46" t="s">
        <v>119</v>
      </c>
      <c r="J40" s="37" t="s">
        <v>77</v>
      </c>
      <c r="K40" s="37"/>
    </row>
    <row r="41" spans="1:11" ht="25.5" hidden="1" customHeight="1" x14ac:dyDescent="0.25">
      <c r="A41" s="41" t="s">
        <v>20</v>
      </c>
      <c r="B41" s="41" t="s">
        <v>142</v>
      </c>
      <c r="C41" s="41">
        <v>2026</v>
      </c>
      <c r="D41" s="41" t="s">
        <v>119</v>
      </c>
      <c r="E41" s="41" t="s">
        <v>81</v>
      </c>
      <c r="F41" s="42" t="s">
        <v>144</v>
      </c>
      <c r="G41" s="41" t="s">
        <v>102</v>
      </c>
      <c r="H41" s="54" t="s">
        <v>83</v>
      </c>
      <c r="I41" s="55" t="s">
        <v>119</v>
      </c>
      <c r="J41" s="41" t="s">
        <v>77</v>
      </c>
      <c r="K41" s="41"/>
    </row>
    <row r="42" spans="1:11" ht="15" hidden="1" customHeight="1" x14ac:dyDescent="0.25">
      <c r="A42" s="37" t="s">
        <v>20</v>
      </c>
      <c r="B42" s="37" t="s">
        <v>142</v>
      </c>
      <c r="C42" s="37">
        <v>2026</v>
      </c>
      <c r="D42" s="37" t="s">
        <v>119</v>
      </c>
      <c r="E42" s="37" t="s">
        <v>104</v>
      </c>
      <c r="F42" s="38" t="s">
        <v>145</v>
      </c>
      <c r="G42" s="37" t="s">
        <v>75</v>
      </c>
      <c r="H42" s="45" t="s">
        <v>83</v>
      </c>
      <c r="I42" s="46" t="s">
        <v>119</v>
      </c>
      <c r="J42" s="37" t="s">
        <v>77</v>
      </c>
      <c r="K42" s="37"/>
    </row>
    <row r="43" spans="1:11" ht="15" hidden="1" customHeight="1" x14ac:dyDescent="0.25">
      <c r="A43" s="41" t="s">
        <v>21</v>
      </c>
      <c r="B43" s="41" t="s">
        <v>146</v>
      </c>
      <c r="C43" s="41">
        <v>2026</v>
      </c>
      <c r="D43" s="41" t="s">
        <v>119</v>
      </c>
      <c r="E43" s="41" t="s">
        <v>73</v>
      </c>
      <c r="F43" s="42" t="s">
        <v>147</v>
      </c>
      <c r="G43" s="41" t="s">
        <v>125</v>
      </c>
      <c r="H43" s="43" t="s">
        <v>76</v>
      </c>
      <c r="I43" s="44"/>
      <c r="J43" s="41" t="s">
        <v>77</v>
      </c>
      <c r="K43" s="41"/>
    </row>
    <row r="44" spans="1:11" ht="15" hidden="1" customHeight="1" x14ac:dyDescent="0.25">
      <c r="A44" s="37" t="s">
        <v>21</v>
      </c>
      <c r="B44" s="37" t="s">
        <v>146</v>
      </c>
      <c r="C44" s="37">
        <v>2026</v>
      </c>
      <c r="D44" s="37" t="s">
        <v>119</v>
      </c>
      <c r="E44" s="37" t="s">
        <v>73</v>
      </c>
      <c r="F44" s="38" t="s">
        <v>148</v>
      </c>
      <c r="G44" s="37" t="s">
        <v>79</v>
      </c>
      <c r="H44" s="39" t="s">
        <v>76</v>
      </c>
      <c r="I44" s="40"/>
      <c r="J44" s="37" t="s">
        <v>77</v>
      </c>
      <c r="K44" s="37"/>
    </row>
    <row r="45" spans="1:11" ht="15" customHeight="1" x14ac:dyDescent="0.25">
      <c r="A45" s="41" t="s">
        <v>21</v>
      </c>
      <c r="B45" s="41" t="s">
        <v>146</v>
      </c>
      <c r="C45" s="41">
        <v>2026</v>
      </c>
      <c r="D45" s="41" t="s">
        <v>119</v>
      </c>
      <c r="E45" s="41" t="s">
        <v>85</v>
      </c>
      <c r="F45" s="42" t="s">
        <v>149</v>
      </c>
      <c r="G45" s="41" t="s">
        <v>75</v>
      </c>
      <c r="H45" s="43" t="s">
        <v>76</v>
      </c>
      <c r="I45" s="44"/>
      <c r="J45" s="41" t="s">
        <v>77</v>
      </c>
      <c r="K45" s="41"/>
    </row>
    <row r="46" spans="1:11" ht="15" customHeight="1" x14ac:dyDescent="0.25">
      <c r="A46" s="37" t="s">
        <v>21</v>
      </c>
      <c r="B46" s="37" t="s">
        <v>146</v>
      </c>
      <c r="C46" s="37">
        <v>2026</v>
      </c>
      <c r="D46" s="37" t="s">
        <v>119</v>
      </c>
      <c r="E46" s="37" t="s">
        <v>85</v>
      </c>
      <c r="F46" s="38" t="s">
        <v>150</v>
      </c>
      <c r="G46" s="37" t="s">
        <v>75</v>
      </c>
      <c r="H46" s="39" t="s">
        <v>76</v>
      </c>
      <c r="I46" s="40"/>
      <c r="J46" s="37" t="s">
        <v>77</v>
      </c>
      <c r="K46" s="37"/>
    </row>
    <row r="47" spans="1:11" ht="15" hidden="1" customHeight="1" x14ac:dyDescent="0.25">
      <c r="A47" s="41" t="s">
        <v>21</v>
      </c>
      <c r="B47" s="41" t="s">
        <v>151</v>
      </c>
      <c r="C47" s="41">
        <v>2026</v>
      </c>
      <c r="D47" s="41" t="s">
        <v>119</v>
      </c>
      <c r="E47" s="41" t="s">
        <v>152</v>
      </c>
      <c r="F47" s="42" t="s">
        <v>153</v>
      </c>
      <c r="G47" s="41" t="s">
        <v>154</v>
      </c>
      <c r="H47" s="43" t="s">
        <v>76</v>
      </c>
      <c r="I47" s="44"/>
      <c r="J47" s="41" t="s">
        <v>77</v>
      </c>
      <c r="K47" s="41"/>
    </row>
    <row r="48" spans="1:11" ht="15" hidden="1" customHeight="1" x14ac:dyDescent="0.25">
      <c r="A48" s="37" t="s">
        <v>21</v>
      </c>
      <c r="B48" s="37" t="s">
        <v>151</v>
      </c>
      <c r="C48" s="37">
        <v>2026</v>
      </c>
      <c r="D48" s="37" t="s">
        <v>119</v>
      </c>
      <c r="E48" s="37" t="s">
        <v>81</v>
      </c>
      <c r="F48" s="38" t="s">
        <v>155</v>
      </c>
      <c r="G48" s="37" t="s">
        <v>75</v>
      </c>
      <c r="H48" s="45" t="s">
        <v>83</v>
      </c>
      <c r="I48" s="46" t="s">
        <v>119</v>
      </c>
      <c r="J48" s="37" t="s">
        <v>77</v>
      </c>
      <c r="K48" s="37"/>
    </row>
    <row r="49" spans="1:11" ht="15" hidden="1" customHeight="1" x14ac:dyDescent="0.25">
      <c r="A49" s="41" t="s">
        <v>22</v>
      </c>
      <c r="B49" s="41" t="s">
        <v>156</v>
      </c>
      <c r="C49" s="41">
        <v>2026</v>
      </c>
      <c r="D49" s="41" t="s">
        <v>119</v>
      </c>
      <c r="E49" s="41" t="s">
        <v>81</v>
      </c>
      <c r="F49" s="42" t="s">
        <v>157</v>
      </c>
      <c r="G49" s="41" t="s">
        <v>75</v>
      </c>
      <c r="H49" s="54" t="s">
        <v>83</v>
      </c>
      <c r="I49" s="55" t="s">
        <v>119</v>
      </c>
      <c r="J49" s="41" t="s">
        <v>77</v>
      </c>
      <c r="K49" s="41"/>
    </row>
    <row r="50" spans="1:11" ht="15" hidden="1" customHeight="1" x14ac:dyDescent="0.25">
      <c r="A50" s="37" t="s">
        <v>22</v>
      </c>
      <c r="B50" s="37" t="s">
        <v>158</v>
      </c>
      <c r="C50" s="37">
        <v>2026</v>
      </c>
      <c r="D50" s="37" t="s">
        <v>119</v>
      </c>
      <c r="E50" s="37" t="s">
        <v>159</v>
      </c>
      <c r="F50" s="38" t="s">
        <v>160</v>
      </c>
      <c r="G50" s="37" t="s">
        <v>161</v>
      </c>
      <c r="H50" s="39" t="s">
        <v>76</v>
      </c>
      <c r="I50" s="40"/>
      <c r="J50" s="37" t="s">
        <v>77</v>
      </c>
      <c r="K50" s="37"/>
    </row>
    <row r="51" spans="1:11" ht="15" hidden="1" customHeight="1" x14ac:dyDescent="0.25">
      <c r="A51" s="41" t="s">
        <v>22</v>
      </c>
      <c r="B51" s="41" t="s">
        <v>158</v>
      </c>
      <c r="C51" s="41">
        <v>2026</v>
      </c>
      <c r="D51" s="41" t="s">
        <v>119</v>
      </c>
      <c r="E51" s="41" t="s">
        <v>162</v>
      </c>
      <c r="F51" s="42" t="s">
        <v>163</v>
      </c>
      <c r="G51" s="41" t="s">
        <v>106</v>
      </c>
      <c r="H51" s="43" t="s">
        <v>76</v>
      </c>
      <c r="I51" s="44"/>
      <c r="J51" s="41" t="s">
        <v>77</v>
      </c>
      <c r="K51" s="41"/>
    </row>
    <row r="52" spans="1:11" ht="15" hidden="1" customHeight="1" x14ac:dyDescent="0.25">
      <c r="A52" s="37" t="s">
        <v>22</v>
      </c>
      <c r="B52" s="37" t="s">
        <v>164</v>
      </c>
      <c r="C52" s="37">
        <v>2026</v>
      </c>
      <c r="D52" s="37" t="s">
        <v>119</v>
      </c>
      <c r="E52" s="37" t="s">
        <v>134</v>
      </c>
      <c r="F52" s="38" t="s">
        <v>165</v>
      </c>
      <c r="G52" s="37" t="s">
        <v>125</v>
      </c>
      <c r="H52" s="39" t="s">
        <v>76</v>
      </c>
      <c r="I52" s="40"/>
      <c r="J52" s="37" t="s">
        <v>77</v>
      </c>
      <c r="K52" s="37"/>
    </row>
    <row r="53" spans="1:11" ht="15" customHeight="1" x14ac:dyDescent="0.25">
      <c r="A53" s="41" t="s">
        <v>24</v>
      </c>
      <c r="B53" s="41" t="s">
        <v>166</v>
      </c>
      <c r="C53" s="41">
        <v>2026</v>
      </c>
      <c r="D53" s="41" t="s">
        <v>167</v>
      </c>
      <c r="E53" s="41" t="s">
        <v>85</v>
      </c>
      <c r="F53" s="42" t="s">
        <v>168</v>
      </c>
      <c r="G53" s="41" t="s">
        <v>108</v>
      </c>
      <c r="H53" s="43" t="s">
        <v>76</v>
      </c>
      <c r="I53" s="44"/>
      <c r="J53" s="41" t="s">
        <v>77</v>
      </c>
      <c r="K53" s="41"/>
    </row>
    <row r="54" spans="1:11" ht="15" hidden="1" customHeight="1" x14ac:dyDescent="0.25">
      <c r="A54" s="37" t="s">
        <v>24</v>
      </c>
      <c r="B54" s="37" t="s">
        <v>166</v>
      </c>
      <c r="C54" s="37">
        <v>2026</v>
      </c>
      <c r="D54" s="37" t="s">
        <v>167</v>
      </c>
      <c r="E54" s="37" t="s">
        <v>81</v>
      </c>
      <c r="F54" s="38" t="s">
        <v>169</v>
      </c>
      <c r="G54" s="37" t="s">
        <v>75</v>
      </c>
      <c r="H54" s="52" t="s">
        <v>111</v>
      </c>
      <c r="I54" s="40"/>
      <c r="J54" s="37" t="s">
        <v>77</v>
      </c>
      <c r="K54" s="37"/>
    </row>
    <row r="55" spans="1:11" ht="15" hidden="1" customHeight="1" x14ac:dyDescent="0.25">
      <c r="A55" s="41" t="s">
        <v>24</v>
      </c>
      <c r="B55" s="41" t="s">
        <v>166</v>
      </c>
      <c r="C55" s="41">
        <v>2026</v>
      </c>
      <c r="D55" s="41" t="s">
        <v>167</v>
      </c>
      <c r="E55" s="41" t="s">
        <v>81</v>
      </c>
      <c r="F55" s="42" t="s">
        <v>170</v>
      </c>
      <c r="G55" s="41" t="s">
        <v>75</v>
      </c>
      <c r="H55" s="54" t="s">
        <v>83</v>
      </c>
      <c r="I55" s="55" t="s">
        <v>167</v>
      </c>
      <c r="J55" s="41" t="s">
        <v>77</v>
      </c>
      <c r="K55" s="41"/>
    </row>
    <row r="56" spans="1:11" ht="15" hidden="1" customHeight="1" x14ac:dyDescent="0.25">
      <c r="A56" s="37" t="s">
        <v>24</v>
      </c>
      <c r="B56" s="37" t="s">
        <v>171</v>
      </c>
      <c r="C56" s="37">
        <v>2026</v>
      </c>
      <c r="D56" s="37" t="s">
        <v>167</v>
      </c>
      <c r="E56" s="37" t="s">
        <v>104</v>
      </c>
      <c r="F56" s="38" t="s">
        <v>172</v>
      </c>
      <c r="G56" s="37" t="s">
        <v>75</v>
      </c>
      <c r="H56" s="45" t="s">
        <v>83</v>
      </c>
      <c r="I56" s="46" t="s">
        <v>167</v>
      </c>
      <c r="J56" s="37" t="s">
        <v>77</v>
      </c>
      <c r="K56" s="37"/>
    </row>
    <row r="57" spans="1:11" ht="15" hidden="1" customHeight="1" x14ac:dyDescent="0.25">
      <c r="A57" s="41" t="s">
        <v>24</v>
      </c>
      <c r="B57" s="41" t="s">
        <v>171</v>
      </c>
      <c r="C57" s="41">
        <v>2026</v>
      </c>
      <c r="D57" s="41" t="s">
        <v>167</v>
      </c>
      <c r="E57" s="41" t="s">
        <v>104</v>
      </c>
      <c r="F57" s="42" t="s">
        <v>173</v>
      </c>
      <c r="G57" s="41" t="s">
        <v>75</v>
      </c>
      <c r="H57" s="54" t="s">
        <v>83</v>
      </c>
      <c r="I57" s="55" t="s">
        <v>167</v>
      </c>
      <c r="J57" s="41" t="s">
        <v>77</v>
      </c>
      <c r="K57" s="41"/>
    </row>
    <row r="58" spans="1:11" ht="15" hidden="1" customHeight="1" x14ac:dyDescent="0.25">
      <c r="A58" s="37" t="s">
        <v>24</v>
      </c>
      <c r="B58" s="37" t="s">
        <v>174</v>
      </c>
      <c r="C58" s="37">
        <v>2026</v>
      </c>
      <c r="D58" s="37" t="s">
        <v>167</v>
      </c>
      <c r="E58" s="37" t="s">
        <v>175</v>
      </c>
      <c r="F58" s="38" t="s">
        <v>176</v>
      </c>
      <c r="G58" s="37" t="s">
        <v>75</v>
      </c>
      <c r="H58" s="39" t="s">
        <v>76</v>
      </c>
      <c r="I58" s="40"/>
      <c r="J58" s="37" t="s">
        <v>77</v>
      </c>
      <c r="K58" s="37"/>
    </row>
    <row r="59" spans="1:11" ht="15" hidden="1" customHeight="1" x14ac:dyDescent="0.25">
      <c r="A59" s="41" t="s">
        <v>24</v>
      </c>
      <c r="B59" s="41" t="s">
        <v>174</v>
      </c>
      <c r="C59" s="41">
        <v>2026</v>
      </c>
      <c r="D59" s="41" t="s">
        <v>167</v>
      </c>
      <c r="E59" s="41" t="s">
        <v>73</v>
      </c>
      <c r="F59" s="42" t="s">
        <v>177</v>
      </c>
      <c r="G59" s="41" t="s">
        <v>79</v>
      </c>
      <c r="H59" s="43" t="s">
        <v>76</v>
      </c>
      <c r="I59" s="44"/>
      <c r="J59" s="41" t="s">
        <v>77</v>
      </c>
      <c r="K59" s="41"/>
    </row>
    <row r="60" spans="1:11" ht="15" hidden="1" customHeight="1" x14ac:dyDescent="0.25">
      <c r="A60" s="37" t="s">
        <v>24</v>
      </c>
      <c r="B60" s="37" t="s">
        <v>174</v>
      </c>
      <c r="C60" s="37">
        <v>2026</v>
      </c>
      <c r="D60" s="37" t="s">
        <v>167</v>
      </c>
      <c r="E60" s="37" t="s">
        <v>73</v>
      </c>
      <c r="F60" s="38" t="s">
        <v>178</v>
      </c>
      <c r="G60" s="37" t="s">
        <v>108</v>
      </c>
      <c r="H60" s="39" t="s">
        <v>76</v>
      </c>
      <c r="I60" s="40"/>
      <c r="J60" s="37" t="s">
        <v>77</v>
      </c>
      <c r="K60" s="37"/>
    </row>
    <row r="61" spans="1:11" ht="15" hidden="1" customHeight="1" x14ac:dyDescent="0.25">
      <c r="A61" s="41" t="s">
        <v>25</v>
      </c>
      <c r="B61" s="41" t="s">
        <v>179</v>
      </c>
      <c r="C61" s="41">
        <v>2026</v>
      </c>
      <c r="D61" s="41" t="s">
        <v>167</v>
      </c>
      <c r="E61" s="41" t="s">
        <v>81</v>
      </c>
      <c r="F61" s="42" t="s">
        <v>180</v>
      </c>
      <c r="G61" s="41" t="s">
        <v>75</v>
      </c>
      <c r="H61" s="53" t="s">
        <v>111</v>
      </c>
      <c r="I61" s="44"/>
      <c r="J61" s="41" t="s">
        <v>77</v>
      </c>
      <c r="K61" s="41"/>
    </row>
    <row r="62" spans="1:11" ht="15" hidden="1" customHeight="1" x14ac:dyDescent="0.25">
      <c r="A62" s="37" t="s">
        <v>25</v>
      </c>
      <c r="B62" s="37" t="s">
        <v>179</v>
      </c>
      <c r="C62" s="37">
        <v>2026</v>
      </c>
      <c r="D62" s="37" t="s">
        <v>167</v>
      </c>
      <c r="E62" s="37" t="s">
        <v>81</v>
      </c>
      <c r="F62" s="38" t="s">
        <v>181</v>
      </c>
      <c r="G62" s="37" t="s">
        <v>106</v>
      </c>
      <c r="H62" s="50" t="s">
        <v>107</v>
      </c>
      <c r="I62" s="40"/>
      <c r="J62" s="37" t="s">
        <v>77</v>
      </c>
      <c r="K62" s="37"/>
    </row>
    <row r="63" spans="1:11" ht="15" hidden="1" customHeight="1" x14ac:dyDescent="0.25">
      <c r="A63" s="41" t="s">
        <v>25</v>
      </c>
      <c r="B63" s="41" t="s">
        <v>179</v>
      </c>
      <c r="C63" s="41">
        <v>2026</v>
      </c>
      <c r="D63" s="41" t="s">
        <v>167</v>
      </c>
      <c r="E63" s="41" t="s">
        <v>81</v>
      </c>
      <c r="F63" s="42" t="s">
        <v>182</v>
      </c>
      <c r="G63" s="41" t="s">
        <v>75</v>
      </c>
      <c r="H63" s="54" t="s">
        <v>83</v>
      </c>
      <c r="I63" s="55" t="s">
        <v>167</v>
      </c>
      <c r="J63" s="41" t="s">
        <v>77</v>
      </c>
      <c r="K63" s="41"/>
    </row>
    <row r="64" spans="1:11" ht="15" customHeight="1" x14ac:dyDescent="0.25">
      <c r="A64" s="37" t="s">
        <v>25</v>
      </c>
      <c r="B64" s="37" t="s">
        <v>179</v>
      </c>
      <c r="C64" s="37">
        <v>2026</v>
      </c>
      <c r="D64" s="37" t="s">
        <v>167</v>
      </c>
      <c r="E64" s="37" t="s">
        <v>85</v>
      </c>
      <c r="F64" s="38" t="s">
        <v>183</v>
      </c>
      <c r="G64" s="37" t="s">
        <v>75</v>
      </c>
      <c r="H64" s="39" t="s">
        <v>76</v>
      </c>
      <c r="I64" s="40"/>
      <c r="J64" s="37" t="s">
        <v>77</v>
      </c>
      <c r="K64" s="37"/>
    </row>
    <row r="65" spans="1:11" ht="15" customHeight="1" x14ac:dyDescent="0.25">
      <c r="A65" s="41" t="s">
        <v>25</v>
      </c>
      <c r="B65" s="41" t="s">
        <v>179</v>
      </c>
      <c r="C65" s="41">
        <v>2026</v>
      </c>
      <c r="D65" s="41" t="s">
        <v>167</v>
      </c>
      <c r="E65" s="41" t="s">
        <v>85</v>
      </c>
      <c r="F65" s="42" t="s">
        <v>184</v>
      </c>
      <c r="G65" s="41" t="s">
        <v>75</v>
      </c>
      <c r="H65" s="43" t="s">
        <v>76</v>
      </c>
      <c r="I65" s="44"/>
      <c r="J65" s="41" t="s">
        <v>77</v>
      </c>
      <c r="K65" s="41"/>
    </row>
    <row r="66" spans="1:11" ht="15" customHeight="1" x14ac:dyDescent="0.25">
      <c r="A66" s="37" t="s">
        <v>25</v>
      </c>
      <c r="B66" s="37" t="s">
        <v>185</v>
      </c>
      <c r="C66" s="37">
        <v>2026</v>
      </c>
      <c r="D66" s="37" t="s">
        <v>167</v>
      </c>
      <c r="E66" s="37" t="s">
        <v>85</v>
      </c>
      <c r="F66" s="38" t="s">
        <v>186</v>
      </c>
      <c r="G66" s="37" t="s">
        <v>75</v>
      </c>
      <c r="H66" s="39" t="s">
        <v>76</v>
      </c>
      <c r="I66" s="40"/>
      <c r="J66" s="37" t="s">
        <v>77</v>
      </c>
      <c r="K66" s="37"/>
    </row>
    <row r="67" spans="1:11" ht="15" customHeight="1" x14ac:dyDescent="0.25">
      <c r="A67" s="41" t="s">
        <v>25</v>
      </c>
      <c r="B67" s="41" t="s">
        <v>187</v>
      </c>
      <c r="C67" s="41">
        <v>2026</v>
      </c>
      <c r="D67" s="41" t="s">
        <v>167</v>
      </c>
      <c r="E67" s="41" t="s">
        <v>85</v>
      </c>
      <c r="F67" s="42" t="s">
        <v>188</v>
      </c>
      <c r="G67" s="41" t="s">
        <v>75</v>
      </c>
      <c r="H67" s="43" t="s">
        <v>76</v>
      </c>
      <c r="I67" s="44"/>
      <c r="J67" s="41" t="s">
        <v>77</v>
      </c>
      <c r="K67" s="41"/>
    </row>
    <row r="68" spans="1:11" ht="15" customHeight="1" x14ac:dyDescent="0.25">
      <c r="A68" s="37" t="s">
        <v>25</v>
      </c>
      <c r="B68" s="37" t="s">
        <v>189</v>
      </c>
      <c r="C68" s="37">
        <v>2026</v>
      </c>
      <c r="D68" s="37" t="s">
        <v>167</v>
      </c>
      <c r="E68" s="37" t="s">
        <v>85</v>
      </c>
      <c r="F68" s="38" t="s">
        <v>190</v>
      </c>
      <c r="G68" s="37" t="s">
        <v>75</v>
      </c>
      <c r="H68" s="39" t="s">
        <v>76</v>
      </c>
      <c r="I68" s="40"/>
      <c r="J68" s="37" t="s">
        <v>77</v>
      </c>
      <c r="K68" s="37"/>
    </row>
    <row r="69" spans="1:11" ht="15" hidden="1" customHeight="1" x14ac:dyDescent="0.25">
      <c r="A69" s="41" t="s">
        <v>27</v>
      </c>
      <c r="B69" s="41" t="s">
        <v>191</v>
      </c>
      <c r="C69" s="41">
        <v>2026</v>
      </c>
      <c r="D69" s="41" t="s">
        <v>167</v>
      </c>
      <c r="E69" s="41" t="s">
        <v>162</v>
      </c>
      <c r="F69" s="42" t="s">
        <v>192</v>
      </c>
      <c r="G69" s="41" t="s">
        <v>106</v>
      </c>
      <c r="H69" s="43" t="s">
        <v>76</v>
      </c>
      <c r="I69" s="44"/>
      <c r="J69" s="41" t="s">
        <v>77</v>
      </c>
      <c r="K69" s="41"/>
    </row>
    <row r="70" spans="1:11" ht="15" customHeight="1" x14ac:dyDescent="0.25">
      <c r="A70" s="37" t="s">
        <v>27</v>
      </c>
      <c r="B70" s="37" t="s">
        <v>191</v>
      </c>
      <c r="C70" s="37">
        <v>2026</v>
      </c>
      <c r="D70" s="37" t="s">
        <v>167</v>
      </c>
      <c r="E70" s="37" t="s">
        <v>85</v>
      </c>
      <c r="F70" s="38" t="s">
        <v>193</v>
      </c>
      <c r="G70" s="37" t="s">
        <v>102</v>
      </c>
      <c r="H70" s="39" t="s">
        <v>76</v>
      </c>
      <c r="I70" s="40"/>
      <c r="J70" s="37" t="s">
        <v>77</v>
      </c>
      <c r="K70" s="37"/>
    </row>
    <row r="71" spans="1:11" ht="25.5" customHeight="1" x14ac:dyDescent="0.25">
      <c r="A71" s="41" t="s">
        <v>27</v>
      </c>
      <c r="B71" s="41" t="s">
        <v>191</v>
      </c>
      <c r="C71" s="41">
        <v>2026</v>
      </c>
      <c r="D71" s="41" t="s">
        <v>167</v>
      </c>
      <c r="E71" s="41" t="s">
        <v>85</v>
      </c>
      <c r="F71" s="42" t="s">
        <v>194</v>
      </c>
      <c r="G71" s="41" t="s">
        <v>75</v>
      </c>
      <c r="H71" s="43" t="s">
        <v>76</v>
      </c>
      <c r="I71" s="44"/>
      <c r="J71" s="41" t="s">
        <v>77</v>
      </c>
      <c r="K71" s="41"/>
    </row>
    <row r="72" spans="1:11" ht="15" hidden="1" customHeight="1" x14ac:dyDescent="0.25">
      <c r="A72" s="37" t="s">
        <v>27</v>
      </c>
      <c r="B72" s="37" t="s">
        <v>195</v>
      </c>
      <c r="C72" s="37">
        <v>2026</v>
      </c>
      <c r="D72" s="37" t="s">
        <v>167</v>
      </c>
      <c r="E72" s="37" t="s">
        <v>81</v>
      </c>
      <c r="F72" s="38" t="s">
        <v>196</v>
      </c>
      <c r="G72" s="37" t="s">
        <v>75</v>
      </c>
      <c r="H72" s="45" t="s">
        <v>83</v>
      </c>
      <c r="I72" s="46" t="s">
        <v>167</v>
      </c>
      <c r="J72" s="37" t="s">
        <v>77</v>
      </c>
      <c r="K72" s="37"/>
    </row>
    <row r="73" spans="1:11" ht="15" hidden="1" customHeight="1" x14ac:dyDescent="0.25">
      <c r="A73" s="41" t="s">
        <v>27</v>
      </c>
      <c r="B73" s="41" t="s">
        <v>195</v>
      </c>
      <c r="C73" s="41">
        <v>2026</v>
      </c>
      <c r="D73" s="41" t="s">
        <v>167</v>
      </c>
      <c r="E73" s="41" t="s">
        <v>81</v>
      </c>
      <c r="F73" s="42" t="s">
        <v>197</v>
      </c>
      <c r="G73" s="41" t="s">
        <v>75</v>
      </c>
      <c r="H73" s="54" t="s">
        <v>83</v>
      </c>
      <c r="I73" s="55" t="s">
        <v>167</v>
      </c>
      <c r="J73" s="41" t="s">
        <v>77</v>
      </c>
      <c r="K73" s="41"/>
    </row>
    <row r="74" spans="1:11" ht="15" hidden="1" customHeight="1" x14ac:dyDescent="0.25">
      <c r="A74" s="37" t="s">
        <v>27</v>
      </c>
      <c r="B74" s="37" t="s">
        <v>195</v>
      </c>
      <c r="C74" s="37">
        <v>2026</v>
      </c>
      <c r="D74" s="37" t="s">
        <v>167</v>
      </c>
      <c r="E74" s="37" t="s">
        <v>81</v>
      </c>
      <c r="F74" s="38" t="s">
        <v>198</v>
      </c>
      <c r="G74" s="37" t="s">
        <v>75</v>
      </c>
      <c r="H74" s="45" t="s">
        <v>83</v>
      </c>
      <c r="I74" s="46" t="s">
        <v>167</v>
      </c>
      <c r="J74" s="37" t="s">
        <v>77</v>
      </c>
      <c r="K74" s="37"/>
    </row>
    <row r="75" spans="1:11" ht="15" hidden="1" customHeight="1" x14ac:dyDescent="0.25">
      <c r="A75" s="41" t="s">
        <v>27</v>
      </c>
      <c r="B75" s="41" t="s">
        <v>199</v>
      </c>
      <c r="C75" s="41">
        <v>2026</v>
      </c>
      <c r="D75" s="41" t="s">
        <v>167</v>
      </c>
      <c r="E75" s="41" t="s">
        <v>73</v>
      </c>
      <c r="F75" s="42" t="s">
        <v>200</v>
      </c>
      <c r="G75" s="41" t="s">
        <v>75</v>
      </c>
      <c r="H75" s="43" t="s">
        <v>76</v>
      </c>
      <c r="I75" s="44"/>
      <c r="J75" s="41" t="s">
        <v>77</v>
      </c>
      <c r="K75" s="41"/>
    </row>
    <row r="76" spans="1:11" ht="15" hidden="1" customHeight="1" x14ac:dyDescent="0.25">
      <c r="A76" s="37" t="s">
        <v>29</v>
      </c>
      <c r="B76" s="37" t="s">
        <v>201</v>
      </c>
      <c r="C76" s="37">
        <v>2026</v>
      </c>
      <c r="D76" s="37" t="s">
        <v>167</v>
      </c>
      <c r="E76" s="37" t="s">
        <v>81</v>
      </c>
      <c r="F76" s="38" t="s">
        <v>202</v>
      </c>
      <c r="G76" s="37" t="s">
        <v>75</v>
      </c>
      <c r="H76" s="56" t="s">
        <v>96</v>
      </c>
      <c r="I76" s="40"/>
      <c r="J76" s="37" t="s">
        <v>77</v>
      </c>
      <c r="K76" s="37"/>
    </row>
    <row r="77" spans="1:11" ht="25.5" hidden="1" customHeight="1" x14ac:dyDescent="0.25">
      <c r="A77" s="41" t="s">
        <v>29</v>
      </c>
      <c r="B77" s="41" t="s">
        <v>201</v>
      </c>
      <c r="C77" s="41">
        <v>2026</v>
      </c>
      <c r="D77" s="41" t="s">
        <v>167</v>
      </c>
      <c r="E77" s="41" t="s">
        <v>81</v>
      </c>
      <c r="F77" s="42" t="s">
        <v>203</v>
      </c>
      <c r="G77" s="41" t="s">
        <v>75</v>
      </c>
      <c r="H77" s="54" t="s">
        <v>83</v>
      </c>
      <c r="I77" s="55" t="s">
        <v>167</v>
      </c>
      <c r="J77" s="41" t="s">
        <v>77</v>
      </c>
      <c r="K77" s="41"/>
    </row>
    <row r="78" spans="1:11" ht="15" hidden="1" customHeight="1" x14ac:dyDescent="0.25">
      <c r="A78" s="37" t="s">
        <v>31</v>
      </c>
      <c r="B78" s="37" t="s">
        <v>204</v>
      </c>
      <c r="C78" s="37">
        <v>2026</v>
      </c>
      <c r="D78" s="37" t="s">
        <v>205</v>
      </c>
      <c r="E78" s="37" t="s">
        <v>81</v>
      </c>
      <c r="F78" s="38" t="s">
        <v>206</v>
      </c>
      <c r="G78" s="37" t="s">
        <v>102</v>
      </c>
      <c r="H78" s="45" t="s">
        <v>83</v>
      </c>
      <c r="I78" s="46" t="s">
        <v>205</v>
      </c>
      <c r="J78" s="37" t="s">
        <v>77</v>
      </c>
      <c r="K78" s="37"/>
    </row>
    <row r="79" spans="1:11" ht="15" hidden="1" customHeight="1" x14ac:dyDescent="0.25">
      <c r="A79" s="41" t="s">
        <v>31</v>
      </c>
      <c r="B79" s="41" t="s">
        <v>204</v>
      </c>
      <c r="C79" s="41">
        <v>2026</v>
      </c>
      <c r="D79" s="41" t="s">
        <v>205</v>
      </c>
      <c r="E79" s="41" t="s">
        <v>81</v>
      </c>
      <c r="F79" s="42" t="s">
        <v>207</v>
      </c>
      <c r="G79" s="41" t="s">
        <v>125</v>
      </c>
      <c r="H79" s="54" t="s">
        <v>83</v>
      </c>
      <c r="I79" s="55" t="s">
        <v>205</v>
      </c>
      <c r="J79" s="41" t="s">
        <v>77</v>
      </c>
      <c r="K79" s="41"/>
    </row>
    <row r="80" spans="1:11" ht="15" hidden="1" customHeight="1" x14ac:dyDescent="0.25">
      <c r="A80" s="37" t="s">
        <v>31</v>
      </c>
      <c r="B80" s="37" t="s">
        <v>204</v>
      </c>
      <c r="C80" s="37">
        <v>2026</v>
      </c>
      <c r="D80" s="37" t="s">
        <v>205</v>
      </c>
      <c r="E80" s="37" t="s">
        <v>81</v>
      </c>
      <c r="F80" s="38" t="s">
        <v>208</v>
      </c>
      <c r="G80" s="37" t="s">
        <v>75</v>
      </c>
      <c r="H80" s="45" t="s">
        <v>83</v>
      </c>
      <c r="I80" s="46" t="s">
        <v>205</v>
      </c>
      <c r="J80" s="37" t="s">
        <v>77</v>
      </c>
      <c r="K80" s="37"/>
    </row>
    <row r="81" spans="1:11" ht="15" hidden="1" customHeight="1" x14ac:dyDescent="0.25">
      <c r="A81" s="41" t="s">
        <v>31</v>
      </c>
      <c r="B81" s="41" t="s">
        <v>204</v>
      </c>
      <c r="C81" s="41">
        <v>2026</v>
      </c>
      <c r="D81" s="41" t="s">
        <v>205</v>
      </c>
      <c r="E81" s="41" t="s">
        <v>81</v>
      </c>
      <c r="F81" s="42" t="s">
        <v>209</v>
      </c>
      <c r="G81" s="41" t="s">
        <v>75</v>
      </c>
      <c r="H81" s="54" t="s">
        <v>83</v>
      </c>
      <c r="I81" s="55" t="s">
        <v>205</v>
      </c>
      <c r="J81" s="41" t="s">
        <v>77</v>
      </c>
      <c r="K81" s="41"/>
    </row>
    <row r="82" spans="1:11" ht="15" customHeight="1" x14ac:dyDescent="0.25">
      <c r="A82" s="37" t="s">
        <v>31</v>
      </c>
      <c r="B82" s="37" t="s">
        <v>204</v>
      </c>
      <c r="C82" s="37">
        <v>2026</v>
      </c>
      <c r="D82" s="37" t="s">
        <v>205</v>
      </c>
      <c r="E82" s="37" t="s">
        <v>85</v>
      </c>
      <c r="F82" s="38" t="s">
        <v>210</v>
      </c>
      <c r="G82" s="37" t="s">
        <v>75</v>
      </c>
      <c r="H82" s="39" t="s">
        <v>76</v>
      </c>
      <c r="I82" s="40"/>
      <c r="J82" s="37" t="s">
        <v>77</v>
      </c>
      <c r="K82" s="37"/>
    </row>
    <row r="83" spans="1:11" ht="15" customHeight="1" x14ac:dyDescent="0.25">
      <c r="A83" s="41" t="s">
        <v>31</v>
      </c>
      <c r="B83" s="41" t="s">
        <v>204</v>
      </c>
      <c r="C83" s="41">
        <v>2026</v>
      </c>
      <c r="D83" s="41" t="s">
        <v>205</v>
      </c>
      <c r="E83" s="41" t="s">
        <v>85</v>
      </c>
      <c r="F83" s="42" t="s">
        <v>211</v>
      </c>
      <c r="G83" s="41" t="s">
        <v>75</v>
      </c>
      <c r="H83" s="43" t="s">
        <v>76</v>
      </c>
      <c r="I83" s="44"/>
      <c r="J83" s="41" t="s">
        <v>77</v>
      </c>
      <c r="K83" s="41"/>
    </row>
    <row r="84" spans="1:11" ht="15" customHeight="1" x14ac:dyDescent="0.25">
      <c r="A84" s="37" t="s">
        <v>31</v>
      </c>
      <c r="B84" s="37" t="s">
        <v>212</v>
      </c>
      <c r="C84" s="37">
        <v>2026</v>
      </c>
      <c r="D84" s="37" t="s">
        <v>205</v>
      </c>
      <c r="E84" s="37" t="s">
        <v>85</v>
      </c>
      <c r="F84" s="38" t="s">
        <v>213</v>
      </c>
      <c r="G84" s="37" t="s">
        <v>75</v>
      </c>
      <c r="H84" s="39" t="s">
        <v>76</v>
      </c>
      <c r="I84" s="40"/>
      <c r="J84" s="37" t="s">
        <v>77</v>
      </c>
      <c r="K84" s="37"/>
    </row>
    <row r="85" spans="1:11" ht="15" customHeight="1" x14ac:dyDescent="0.25">
      <c r="A85" s="41" t="s">
        <v>31</v>
      </c>
      <c r="B85" s="41" t="s">
        <v>214</v>
      </c>
      <c r="C85" s="41">
        <v>2026</v>
      </c>
      <c r="D85" s="41" t="s">
        <v>205</v>
      </c>
      <c r="E85" s="41" t="s">
        <v>85</v>
      </c>
      <c r="F85" s="42" t="s">
        <v>215</v>
      </c>
      <c r="G85" s="41" t="s">
        <v>75</v>
      </c>
      <c r="H85" s="43" t="s">
        <v>76</v>
      </c>
      <c r="I85" s="44"/>
      <c r="J85" s="41" t="s">
        <v>77</v>
      </c>
      <c r="K85" s="41"/>
    </row>
    <row r="86" spans="1:11" ht="15" customHeight="1" x14ac:dyDescent="0.25">
      <c r="A86" s="57" t="s">
        <v>32</v>
      </c>
      <c r="B86" s="58">
        <v>46125</v>
      </c>
      <c r="C86" s="57">
        <v>2026</v>
      </c>
      <c r="D86" s="57" t="s">
        <v>205</v>
      </c>
      <c r="E86" s="57" t="s">
        <v>85</v>
      </c>
      <c r="F86" s="59" t="s">
        <v>216</v>
      </c>
      <c r="G86" s="57" t="s">
        <v>75</v>
      </c>
      <c r="H86" s="57" t="s">
        <v>76</v>
      </c>
      <c r="I86" s="40"/>
      <c r="J86" s="57" t="s">
        <v>77</v>
      </c>
      <c r="K86" s="60"/>
    </row>
    <row r="87" spans="1:11" ht="15" customHeight="1" x14ac:dyDescent="0.25">
      <c r="A87" s="61" t="s">
        <v>32</v>
      </c>
      <c r="B87" s="62">
        <v>46126</v>
      </c>
      <c r="C87" s="61">
        <v>2026</v>
      </c>
      <c r="D87" s="61" t="s">
        <v>205</v>
      </c>
      <c r="E87" s="61" t="s">
        <v>85</v>
      </c>
      <c r="F87" s="63" t="s">
        <v>217</v>
      </c>
      <c r="G87" s="61" t="s">
        <v>75</v>
      </c>
      <c r="H87" s="61" t="s">
        <v>76</v>
      </c>
      <c r="I87" s="44"/>
      <c r="J87" s="61" t="s">
        <v>77</v>
      </c>
      <c r="K87" s="64"/>
    </row>
    <row r="88" spans="1:11" ht="15" customHeight="1" x14ac:dyDescent="0.25">
      <c r="A88" s="57" t="s">
        <v>32</v>
      </c>
      <c r="B88" s="58">
        <v>46126</v>
      </c>
      <c r="C88" s="57">
        <v>2026</v>
      </c>
      <c r="D88" s="57" t="s">
        <v>205</v>
      </c>
      <c r="E88" s="57" t="s">
        <v>85</v>
      </c>
      <c r="F88" s="59" t="s">
        <v>218</v>
      </c>
      <c r="G88" s="57" t="s">
        <v>75</v>
      </c>
      <c r="H88" s="57" t="s">
        <v>76</v>
      </c>
      <c r="I88" s="40"/>
      <c r="J88" s="57" t="s">
        <v>77</v>
      </c>
      <c r="K88" s="60"/>
    </row>
    <row r="89" spans="1:11" ht="15" customHeight="1" x14ac:dyDescent="0.25">
      <c r="A89" s="61" t="s">
        <v>32</v>
      </c>
      <c r="B89" s="62">
        <v>46126</v>
      </c>
      <c r="C89" s="61">
        <v>2026</v>
      </c>
      <c r="D89" s="61" t="s">
        <v>205</v>
      </c>
      <c r="E89" s="61" t="s">
        <v>85</v>
      </c>
      <c r="F89" s="63" t="s">
        <v>219</v>
      </c>
      <c r="G89" s="61" t="s">
        <v>220</v>
      </c>
      <c r="H89" s="61" t="s">
        <v>76</v>
      </c>
      <c r="I89" s="44"/>
      <c r="J89" s="61" t="s">
        <v>77</v>
      </c>
      <c r="K89" s="64"/>
    </row>
    <row r="90" spans="1:11" ht="15" customHeight="1" x14ac:dyDescent="0.25">
      <c r="A90" s="61" t="s">
        <v>33</v>
      </c>
      <c r="B90" s="65">
        <v>46132</v>
      </c>
      <c r="C90" s="61">
        <v>2026</v>
      </c>
      <c r="D90" s="61" t="s">
        <v>205</v>
      </c>
      <c r="E90" s="61" t="s">
        <v>85</v>
      </c>
      <c r="F90" s="63" t="s">
        <v>221</v>
      </c>
      <c r="G90" s="61" t="s">
        <v>222</v>
      </c>
      <c r="H90" s="61" t="s">
        <v>83</v>
      </c>
      <c r="I90" s="55" t="s">
        <v>205</v>
      </c>
      <c r="J90" s="61" t="s">
        <v>223</v>
      </c>
      <c r="K90" s="64"/>
    </row>
    <row r="91" spans="1:11" ht="15" customHeight="1" x14ac:dyDescent="0.25">
      <c r="A91" s="57" t="s">
        <v>33</v>
      </c>
      <c r="B91" s="66">
        <v>46132</v>
      </c>
      <c r="C91" s="57">
        <v>2026</v>
      </c>
      <c r="D91" s="57" t="s">
        <v>205</v>
      </c>
      <c r="E91" s="57" t="s">
        <v>85</v>
      </c>
      <c r="F91" s="59" t="s">
        <v>224</v>
      </c>
      <c r="G91" s="57" t="s">
        <v>220</v>
      </c>
      <c r="H91" s="57" t="s">
        <v>76</v>
      </c>
      <c r="I91" s="40"/>
      <c r="J91" s="57" t="s">
        <v>77</v>
      </c>
      <c r="K91" s="60"/>
    </row>
    <row r="92" spans="1:11" ht="15" hidden="1" customHeight="1" x14ac:dyDescent="0.25">
      <c r="A92" s="61" t="s">
        <v>33</v>
      </c>
      <c r="B92" s="65">
        <v>46132</v>
      </c>
      <c r="C92" s="61">
        <v>2026</v>
      </c>
      <c r="D92" s="61" t="s">
        <v>205</v>
      </c>
      <c r="E92" s="61" t="s">
        <v>175</v>
      </c>
      <c r="F92" s="63" t="s">
        <v>225</v>
      </c>
      <c r="G92" s="61" t="s">
        <v>75</v>
      </c>
      <c r="H92" s="61" t="s">
        <v>76</v>
      </c>
      <c r="I92" s="44"/>
      <c r="J92" s="61" t="s">
        <v>77</v>
      </c>
      <c r="K92" s="64"/>
    </row>
    <row r="93" spans="1:11" ht="15" customHeight="1" x14ac:dyDescent="0.25">
      <c r="A93" s="57" t="s">
        <v>33</v>
      </c>
      <c r="B93" s="66">
        <v>46133</v>
      </c>
      <c r="C93" s="57">
        <v>2026</v>
      </c>
      <c r="D93" s="57" t="s">
        <v>205</v>
      </c>
      <c r="E93" s="57" t="s">
        <v>85</v>
      </c>
      <c r="F93" s="59" t="s">
        <v>226</v>
      </c>
      <c r="G93" s="57" t="s">
        <v>75</v>
      </c>
      <c r="H93" s="57" t="s">
        <v>83</v>
      </c>
      <c r="I93" s="46" t="s">
        <v>205</v>
      </c>
      <c r="J93" s="57" t="s">
        <v>77</v>
      </c>
      <c r="K93" s="60"/>
    </row>
    <row r="94" spans="1:11" ht="15" hidden="1" customHeight="1" x14ac:dyDescent="0.25">
      <c r="A94" s="61" t="s">
        <v>33</v>
      </c>
      <c r="B94" s="65">
        <v>46135</v>
      </c>
      <c r="C94" s="61">
        <v>2026</v>
      </c>
      <c r="D94" s="61" t="s">
        <v>205</v>
      </c>
      <c r="E94" s="61" t="s">
        <v>104</v>
      </c>
      <c r="F94" s="63" t="s">
        <v>227</v>
      </c>
      <c r="G94" s="61" t="s">
        <v>106</v>
      </c>
      <c r="H94" s="64" t="s">
        <v>76</v>
      </c>
      <c r="I94" s="44"/>
      <c r="J94" s="61" t="s">
        <v>77</v>
      </c>
      <c r="K94" s="64"/>
    </row>
    <row r="95" spans="1:11" ht="15" hidden="1" customHeight="1" x14ac:dyDescent="0.25">
      <c r="A95" s="57" t="s">
        <v>33</v>
      </c>
      <c r="B95" s="66">
        <v>46135</v>
      </c>
      <c r="C95" s="57">
        <v>2026</v>
      </c>
      <c r="D95" s="57" t="s">
        <v>205</v>
      </c>
      <c r="E95" s="57" t="s">
        <v>81</v>
      </c>
      <c r="F95" s="59" t="s">
        <v>228</v>
      </c>
      <c r="G95" s="57" t="s">
        <v>75</v>
      </c>
      <c r="H95" s="57" t="s">
        <v>83</v>
      </c>
      <c r="I95" s="46" t="s">
        <v>205</v>
      </c>
      <c r="J95" s="57" t="s">
        <v>77</v>
      </c>
      <c r="K95" s="60"/>
    </row>
    <row r="96" spans="1:11" ht="15" hidden="1" customHeight="1" x14ac:dyDescent="0.25">
      <c r="A96" s="61" t="s">
        <v>33</v>
      </c>
      <c r="B96" s="65">
        <v>46135</v>
      </c>
      <c r="C96" s="61">
        <v>2026</v>
      </c>
      <c r="D96" s="61" t="s">
        <v>205</v>
      </c>
      <c r="E96" s="61" t="s">
        <v>229</v>
      </c>
      <c r="F96" s="63" t="s">
        <v>230</v>
      </c>
      <c r="G96" s="61" t="s">
        <v>231</v>
      </c>
      <c r="H96" s="61" t="s">
        <v>232</v>
      </c>
      <c r="I96" s="44"/>
      <c r="J96" s="61" t="s">
        <v>77</v>
      </c>
      <c r="K96" s="64"/>
    </row>
    <row r="97" spans="1:11" ht="15" hidden="1" customHeight="1" x14ac:dyDescent="0.25">
      <c r="A97" s="61" t="s">
        <v>34</v>
      </c>
      <c r="B97" s="65">
        <v>46141</v>
      </c>
      <c r="C97" s="61">
        <v>2026</v>
      </c>
      <c r="D97" s="61" t="s">
        <v>205</v>
      </c>
      <c r="E97" s="61" t="s">
        <v>233</v>
      </c>
      <c r="F97" s="63" t="s">
        <v>234</v>
      </c>
      <c r="G97" s="61" t="s">
        <v>75</v>
      </c>
      <c r="H97" s="64" t="s">
        <v>76</v>
      </c>
      <c r="I97" s="44"/>
      <c r="J97" s="61" t="s">
        <v>77</v>
      </c>
      <c r="K97" s="64"/>
    </row>
    <row r="98" spans="1:11" ht="15" hidden="1" customHeight="1" x14ac:dyDescent="0.25">
      <c r="A98" s="57" t="s">
        <v>34</v>
      </c>
      <c r="B98" s="66">
        <v>46141</v>
      </c>
      <c r="C98" s="57">
        <v>2026</v>
      </c>
      <c r="D98" s="57" t="s">
        <v>205</v>
      </c>
      <c r="E98" s="57" t="s">
        <v>81</v>
      </c>
      <c r="F98" s="59" t="s">
        <v>235</v>
      </c>
      <c r="G98" s="57" t="s">
        <v>106</v>
      </c>
      <c r="H98" s="57" t="s">
        <v>107</v>
      </c>
      <c r="I98" s="40"/>
      <c r="J98" s="57" t="s">
        <v>77</v>
      </c>
      <c r="K98" s="60"/>
    </row>
    <row r="99" spans="1:11" ht="15" hidden="1" customHeight="1" x14ac:dyDescent="0.25">
      <c r="A99" s="61" t="s">
        <v>34</v>
      </c>
      <c r="B99" s="65">
        <v>46141</v>
      </c>
      <c r="C99" s="61">
        <v>2026</v>
      </c>
      <c r="D99" s="61" t="s">
        <v>205</v>
      </c>
      <c r="E99" s="61" t="s">
        <v>81</v>
      </c>
      <c r="F99" s="63" t="s">
        <v>236</v>
      </c>
      <c r="G99" s="61" t="s">
        <v>106</v>
      </c>
      <c r="H99" s="61" t="s">
        <v>107</v>
      </c>
      <c r="I99" s="44"/>
      <c r="J99" s="61" t="s">
        <v>77</v>
      </c>
      <c r="K99" s="64"/>
    </row>
    <row r="100" spans="1:11" ht="15" hidden="1" customHeight="1" x14ac:dyDescent="0.25">
      <c r="A100" s="57" t="s">
        <v>34</v>
      </c>
      <c r="B100" s="66">
        <v>46141</v>
      </c>
      <c r="C100" s="57">
        <v>2026</v>
      </c>
      <c r="D100" s="57" t="s">
        <v>205</v>
      </c>
      <c r="E100" s="57" t="s">
        <v>81</v>
      </c>
      <c r="F100" s="59" t="s">
        <v>237</v>
      </c>
      <c r="G100" s="57" t="s">
        <v>75</v>
      </c>
      <c r="H100" s="57" t="s">
        <v>83</v>
      </c>
      <c r="I100" s="46" t="s">
        <v>205</v>
      </c>
      <c r="J100" s="57" t="s">
        <v>77</v>
      </c>
      <c r="K100" s="60"/>
    </row>
    <row r="101" spans="1:11" ht="15" customHeight="1" x14ac:dyDescent="0.25">
      <c r="A101" s="61" t="s">
        <v>34</v>
      </c>
      <c r="B101" s="65">
        <v>46141</v>
      </c>
      <c r="C101" s="61">
        <v>2026</v>
      </c>
      <c r="D101" s="61" t="s">
        <v>205</v>
      </c>
      <c r="E101" s="61" t="s">
        <v>85</v>
      </c>
      <c r="F101" s="63" t="s">
        <v>238</v>
      </c>
      <c r="G101" s="61" t="s">
        <v>222</v>
      </c>
      <c r="H101" s="61" t="s">
        <v>83</v>
      </c>
      <c r="I101" s="55" t="s">
        <v>205</v>
      </c>
      <c r="J101" s="61" t="s">
        <v>77</v>
      </c>
      <c r="K101" s="64"/>
    </row>
    <row r="102" spans="1:11" ht="15" customHeight="1" x14ac:dyDescent="0.25">
      <c r="A102" s="57" t="s">
        <v>34</v>
      </c>
      <c r="B102" s="66">
        <v>46141</v>
      </c>
      <c r="C102" s="57">
        <v>2026</v>
      </c>
      <c r="D102" s="57" t="s">
        <v>205</v>
      </c>
      <c r="E102" s="57" t="s">
        <v>85</v>
      </c>
      <c r="F102" s="59" t="s">
        <v>239</v>
      </c>
      <c r="G102" s="57" t="s">
        <v>240</v>
      </c>
      <c r="H102" s="57" t="s">
        <v>96</v>
      </c>
      <c r="I102" s="40"/>
      <c r="J102" s="57" t="s">
        <v>77</v>
      </c>
      <c r="K102" s="60"/>
    </row>
    <row r="103" spans="1:11" ht="15" customHeight="1" x14ac:dyDescent="0.25">
      <c r="A103" s="61" t="s">
        <v>34</v>
      </c>
      <c r="B103" s="65">
        <v>46141</v>
      </c>
      <c r="C103" s="61">
        <v>2026</v>
      </c>
      <c r="D103" s="61" t="s">
        <v>205</v>
      </c>
      <c r="E103" s="61" t="s">
        <v>85</v>
      </c>
      <c r="F103" s="63" t="s">
        <v>241</v>
      </c>
      <c r="G103" s="61" t="s">
        <v>75</v>
      </c>
      <c r="H103" s="61" t="s">
        <v>83</v>
      </c>
      <c r="I103" s="55" t="s">
        <v>205</v>
      </c>
      <c r="J103" s="61" t="s">
        <v>77</v>
      </c>
      <c r="K103" s="64"/>
    </row>
    <row r="104" spans="1:11" ht="15" hidden="1" customHeight="1" x14ac:dyDescent="0.25">
      <c r="A104" s="64" t="s">
        <v>35</v>
      </c>
      <c r="B104" s="65">
        <v>46147</v>
      </c>
      <c r="C104" s="61">
        <v>2026</v>
      </c>
      <c r="D104" s="61" t="s">
        <v>242</v>
      </c>
      <c r="E104" s="64" t="s">
        <v>73</v>
      </c>
      <c r="F104" s="67" t="s">
        <v>243</v>
      </c>
      <c r="G104" s="64" t="s">
        <v>75</v>
      </c>
      <c r="H104" s="64" t="s">
        <v>83</v>
      </c>
      <c r="I104" s="44" t="s">
        <v>244</v>
      </c>
      <c r="J104" s="64"/>
      <c r="K104" s="64"/>
    </row>
    <row r="105" spans="1:11" ht="15" hidden="1" customHeight="1" x14ac:dyDescent="0.25">
      <c r="A105" s="60" t="s">
        <v>35</v>
      </c>
      <c r="B105" s="66">
        <v>46147</v>
      </c>
      <c r="C105" s="57">
        <v>2026</v>
      </c>
      <c r="D105" s="57" t="s">
        <v>242</v>
      </c>
      <c r="E105" s="60" t="s">
        <v>73</v>
      </c>
      <c r="F105" s="68" t="s">
        <v>245</v>
      </c>
      <c r="G105" s="60" t="s">
        <v>231</v>
      </c>
      <c r="H105" s="60" t="s">
        <v>83</v>
      </c>
      <c r="I105" s="40" t="s">
        <v>72</v>
      </c>
      <c r="J105" s="60"/>
      <c r="K105" s="60"/>
    </row>
    <row r="106" spans="1:11" ht="15" hidden="1" customHeight="1" x14ac:dyDescent="0.25">
      <c r="A106" s="64" t="s">
        <v>35</v>
      </c>
      <c r="B106" s="65">
        <v>46147</v>
      </c>
      <c r="C106" s="61">
        <v>2026</v>
      </c>
      <c r="D106" s="61" t="s">
        <v>242</v>
      </c>
      <c r="E106" s="64" t="s">
        <v>73</v>
      </c>
      <c r="F106" s="67" t="s">
        <v>246</v>
      </c>
      <c r="G106" s="64" t="s">
        <v>222</v>
      </c>
      <c r="H106" s="64" t="s">
        <v>83</v>
      </c>
      <c r="I106" s="44" t="s">
        <v>244</v>
      </c>
      <c r="J106" s="64"/>
      <c r="K106" s="64"/>
    </row>
    <row r="107" spans="1:11" ht="15" hidden="1" customHeight="1" x14ac:dyDescent="0.25">
      <c r="A107" s="60" t="s">
        <v>35</v>
      </c>
      <c r="B107" s="66">
        <v>46148</v>
      </c>
      <c r="C107" s="57">
        <v>2026</v>
      </c>
      <c r="D107" s="57" t="s">
        <v>242</v>
      </c>
      <c r="E107" s="60" t="s">
        <v>73</v>
      </c>
      <c r="F107" s="68" t="s">
        <v>247</v>
      </c>
      <c r="G107" s="60" t="s">
        <v>75</v>
      </c>
      <c r="H107" s="60" t="s">
        <v>83</v>
      </c>
      <c r="I107" s="40" t="s">
        <v>167</v>
      </c>
      <c r="J107" s="60"/>
      <c r="K107" s="60"/>
    </row>
    <row r="108" spans="1:11" ht="15" hidden="1" customHeight="1" x14ac:dyDescent="0.25">
      <c r="A108" s="64" t="s">
        <v>35</v>
      </c>
      <c r="B108" s="65">
        <v>46148</v>
      </c>
      <c r="C108" s="61">
        <v>2026</v>
      </c>
      <c r="D108" s="61" t="s">
        <v>242</v>
      </c>
      <c r="E108" s="64" t="s">
        <v>104</v>
      </c>
      <c r="F108" s="67" t="s">
        <v>248</v>
      </c>
      <c r="G108" s="64" t="s">
        <v>75</v>
      </c>
      <c r="H108" s="64" t="s">
        <v>83</v>
      </c>
      <c r="I108" s="44" t="s">
        <v>167</v>
      </c>
      <c r="J108" s="64"/>
      <c r="K108" s="64"/>
    </row>
    <row r="109" spans="1:11" ht="15" customHeight="1" x14ac:dyDescent="0.25">
      <c r="A109" s="64" t="s">
        <v>35</v>
      </c>
      <c r="B109" s="65">
        <v>46149</v>
      </c>
      <c r="C109" s="61">
        <v>2026</v>
      </c>
      <c r="D109" s="61" t="s">
        <v>242</v>
      </c>
      <c r="E109" s="64" t="s">
        <v>85</v>
      </c>
      <c r="F109" s="67" t="s">
        <v>249</v>
      </c>
      <c r="G109" s="64" t="s">
        <v>75</v>
      </c>
      <c r="H109" s="64" t="s">
        <v>83</v>
      </c>
      <c r="I109" s="44" t="s">
        <v>167</v>
      </c>
      <c r="J109" s="64"/>
    </row>
    <row r="110" spans="1:11" ht="15" hidden="1" customHeight="1" x14ac:dyDescent="0.25">
      <c r="A110" s="60" t="s">
        <v>35</v>
      </c>
      <c r="B110" s="66">
        <v>46149</v>
      </c>
      <c r="C110" s="57">
        <v>2026</v>
      </c>
      <c r="D110" s="57" t="s">
        <v>242</v>
      </c>
      <c r="E110" s="60" t="s">
        <v>81</v>
      </c>
      <c r="F110" s="68" t="s">
        <v>250</v>
      </c>
      <c r="G110" s="60" t="s">
        <v>106</v>
      </c>
      <c r="H110" s="60" t="s">
        <v>107</v>
      </c>
      <c r="I110" s="40"/>
      <c r="J110" s="60"/>
    </row>
    <row r="111" spans="1:11" ht="15" hidden="1" customHeight="1" x14ac:dyDescent="0.25">
      <c r="A111" s="64" t="s">
        <v>35</v>
      </c>
      <c r="B111" s="65">
        <v>46149</v>
      </c>
      <c r="C111" s="61">
        <v>2026</v>
      </c>
      <c r="D111" s="61" t="s">
        <v>242</v>
      </c>
      <c r="E111" s="64" t="s">
        <v>81</v>
      </c>
      <c r="F111" s="67" t="s">
        <v>250</v>
      </c>
      <c r="G111" s="64" t="s">
        <v>106</v>
      </c>
      <c r="H111" s="64" t="s">
        <v>107</v>
      </c>
      <c r="I111" s="44"/>
      <c r="J111" s="64"/>
    </row>
    <row r="112" spans="1:11" ht="15" hidden="1" customHeight="1" x14ac:dyDescent="0.25">
      <c r="A112" s="60" t="s">
        <v>37</v>
      </c>
      <c r="B112" s="70">
        <v>46153</v>
      </c>
      <c r="C112" s="61">
        <v>2026</v>
      </c>
      <c r="D112" s="57" t="s">
        <v>242</v>
      </c>
      <c r="E112" s="64" t="s">
        <v>81</v>
      </c>
      <c r="F112" s="68" t="s">
        <v>251</v>
      </c>
      <c r="G112" s="60" t="s">
        <v>252</v>
      </c>
      <c r="H112" s="60" t="s">
        <v>83</v>
      </c>
      <c r="I112" s="40" t="s">
        <v>72</v>
      </c>
      <c r="J112" s="60"/>
    </row>
    <row r="113" spans="1:11" ht="15" hidden="1" customHeight="1" x14ac:dyDescent="0.25">
      <c r="A113" s="60" t="s">
        <v>37</v>
      </c>
      <c r="B113" s="71">
        <v>46153</v>
      </c>
      <c r="C113" s="61">
        <v>2026</v>
      </c>
      <c r="D113" s="57" t="s">
        <v>242</v>
      </c>
      <c r="E113" s="64" t="s">
        <v>81</v>
      </c>
      <c r="F113" s="67" t="s">
        <v>253</v>
      </c>
      <c r="G113" s="64" t="s">
        <v>252</v>
      </c>
      <c r="H113" s="64" t="s">
        <v>83</v>
      </c>
      <c r="I113" s="44" t="s">
        <v>167</v>
      </c>
      <c r="J113" s="64"/>
    </row>
    <row r="114" spans="1:11" ht="15" hidden="1" customHeight="1" x14ac:dyDescent="0.25">
      <c r="A114" s="60" t="s">
        <v>37</v>
      </c>
      <c r="B114" s="71">
        <v>46153</v>
      </c>
      <c r="C114" s="61">
        <v>2026</v>
      </c>
      <c r="D114" s="57" t="s">
        <v>242</v>
      </c>
      <c r="E114" s="64" t="s">
        <v>104</v>
      </c>
      <c r="F114" s="67" t="s">
        <v>254</v>
      </c>
      <c r="G114" s="64" t="s">
        <v>252</v>
      </c>
      <c r="H114" s="64" t="s">
        <v>96</v>
      </c>
      <c r="I114" s="44"/>
      <c r="J114" s="64"/>
    </row>
    <row r="115" spans="1:11" ht="15" hidden="1" customHeight="1" x14ac:dyDescent="0.25">
      <c r="A115" s="60" t="s">
        <v>37</v>
      </c>
      <c r="B115" s="72">
        <v>46154</v>
      </c>
      <c r="C115" s="61">
        <v>2026</v>
      </c>
      <c r="D115" s="57" t="s">
        <v>242</v>
      </c>
      <c r="E115" s="73" t="s">
        <v>81</v>
      </c>
      <c r="F115" t="s">
        <v>255</v>
      </c>
      <c r="G115" s="69" t="s">
        <v>106</v>
      </c>
      <c r="H115" s="73" t="s">
        <v>96</v>
      </c>
    </row>
    <row r="116" spans="1:11" ht="15" hidden="1" customHeight="1" x14ac:dyDescent="0.25">
      <c r="A116" s="60" t="s">
        <v>38</v>
      </c>
      <c r="B116" s="72">
        <v>46163</v>
      </c>
      <c r="C116" s="69">
        <v>2026</v>
      </c>
      <c r="D116" s="69" t="s">
        <v>242</v>
      </c>
      <c r="E116" s="69" t="s">
        <v>116</v>
      </c>
      <c r="F116" t="s">
        <v>256</v>
      </c>
      <c r="G116" s="69" t="s">
        <v>257</v>
      </c>
      <c r="H116" s="74" t="s">
        <v>76</v>
      </c>
    </row>
    <row r="117" spans="1:11" ht="15" hidden="1" customHeight="1" x14ac:dyDescent="0.25">
      <c r="A117" s="69" t="s">
        <v>40</v>
      </c>
      <c r="B117" s="75" t="s">
        <v>258</v>
      </c>
      <c r="C117" s="69">
        <v>2026</v>
      </c>
      <c r="D117" s="69" t="s">
        <v>242</v>
      </c>
      <c r="E117" s="69" t="s">
        <v>116</v>
      </c>
      <c r="F117" s="76" t="s">
        <v>256</v>
      </c>
      <c r="G117" s="69" t="s">
        <v>259</v>
      </c>
      <c r="H117" s="74" t="s">
        <v>76</v>
      </c>
    </row>
    <row r="118" spans="1:11" ht="15" hidden="1" customHeight="1" x14ac:dyDescent="0.25">
      <c r="A118" s="69" t="s">
        <v>40</v>
      </c>
      <c r="B118" s="69" t="s">
        <v>258</v>
      </c>
      <c r="C118" s="69">
        <v>2026</v>
      </c>
      <c r="D118" s="69" t="s">
        <v>242</v>
      </c>
      <c r="E118" s="69" t="s">
        <v>81</v>
      </c>
      <c r="F118" t="s">
        <v>260</v>
      </c>
      <c r="G118" s="69" t="s">
        <v>112</v>
      </c>
      <c r="H118" s="69" t="s">
        <v>96</v>
      </c>
      <c r="I118" s="69" t="s">
        <v>261</v>
      </c>
    </row>
    <row r="119" spans="1:11" ht="15" hidden="1" customHeight="1" x14ac:dyDescent="0.25">
      <c r="A119" s="69" t="s">
        <v>40</v>
      </c>
      <c r="B119" s="75" t="s">
        <v>258</v>
      </c>
      <c r="C119" s="69">
        <v>2026</v>
      </c>
      <c r="D119" s="69" t="s">
        <v>242</v>
      </c>
      <c r="E119" s="69" t="s">
        <v>159</v>
      </c>
      <c r="F119" s="76" t="s">
        <v>262</v>
      </c>
      <c r="G119" s="69" t="s">
        <v>231</v>
      </c>
      <c r="H119" s="77" t="s">
        <v>76</v>
      </c>
    </row>
    <row r="120" spans="1:11" ht="15" customHeight="1" x14ac:dyDescent="0.25">
      <c r="A120" s="69" t="s">
        <v>40</v>
      </c>
      <c r="B120" s="75" t="s">
        <v>258</v>
      </c>
      <c r="C120" s="69">
        <v>2026</v>
      </c>
      <c r="D120" s="69" t="s">
        <v>242</v>
      </c>
      <c r="E120" s="69" t="s">
        <v>85</v>
      </c>
      <c r="F120" s="76" t="s">
        <v>263</v>
      </c>
      <c r="G120" s="69" t="s">
        <v>75</v>
      </c>
      <c r="H120" s="78" t="s">
        <v>83</v>
      </c>
      <c r="I120" s="69" t="s">
        <v>167</v>
      </c>
    </row>
    <row r="121" spans="1:11" ht="15" hidden="1" customHeight="1" x14ac:dyDescent="0.25">
      <c r="A121" s="69" t="s">
        <v>41</v>
      </c>
      <c r="B121" s="69" t="s">
        <v>264</v>
      </c>
      <c r="C121" s="69">
        <v>2026</v>
      </c>
      <c r="D121" s="69" t="s">
        <v>265</v>
      </c>
      <c r="E121" s="69" t="s">
        <v>81</v>
      </c>
      <c r="F121" s="76" t="s">
        <v>266</v>
      </c>
      <c r="G121" s="69" t="s">
        <v>267</v>
      </c>
      <c r="H121" s="69" t="s">
        <v>83</v>
      </c>
      <c r="I121" s="69" t="s">
        <v>242</v>
      </c>
    </row>
    <row r="122" spans="1:11" ht="15" customHeight="1" x14ac:dyDescent="0.25">
      <c r="A122" s="69" t="s">
        <v>41</v>
      </c>
      <c r="B122" s="69" t="s">
        <v>264</v>
      </c>
      <c r="C122" s="69">
        <v>2026</v>
      </c>
      <c r="D122" s="69" t="s">
        <v>265</v>
      </c>
      <c r="E122" s="69" t="s">
        <v>85</v>
      </c>
      <c r="F122" s="76" t="s">
        <v>268</v>
      </c>
      <c r="G122" s="69" t="s">
        <v>267</v>
      </c>
      <c r="H122" s="78" t="s">
        <v>83</v>
      </c>
      <c r="I122" s="69" t="s">
        <v>167</v>
      </c>
    </row>
    <row r="123" spans="1:11" ht="15" hidden="1" customHeight="1" x14ac:dyDescent="0.25">
      <c r="A123" s="69" t="s">
        <v>41</v>
      </c>
      <c r="B123" s="69" t="s">
        <v>264</v>
      </c>
      <c r="C123" s="69">
        <v>2026</v>
      </c>
      <c r="D123" s="69" t="s">
        <v>265</v>
      </c>
      <c r="E123" s="69" t="s">
        <v>81</v>
      </c>
      <c r="F123" s="76" t="s">
        <v>269</v>
      </c>
      <c r="G123" s="69" t="s">
        <v>270</v>
      </c>
      <c r="H123" s="69" t="s">
        <v>107</v>
      </c>
      <c r="I123" s="69"/>
    </row>
    <row r="124" spans="1:11" ht="15" customHeight="1" x14ac:dyDescent="0.25">
      <c r="A124" s="40" t="s">
        <v>32</v>
      </c>
      <c r="B124" s="40" t="s">
        <v>271</v>
      </c>
      <c r="C124" s="40">
        <v>2026</v>
      </c>
      <c r="D124" s="40" t="s">
        <v>205</v>
      </c>
      <c r="E124" s="40" t="s">
        <v>85</v>
      </c>
      <c r="F124" s="79" t="s">
        <v>272</v>
      </c>
      <c r="G124" s="40" t="s">
        <v>75</v>
      </c>
      <c r="H124" s="80" t="s">
        <v>76</v>
      </c>
      <c r="I124" s="40"/>
      <c r="J124" s="40" t="s">
        <v>77</v>
      </c>
      <c r="K124" t="s">
        <v>273</v>
      </c>
    </row>
    <row r="125" spans="1:11" ht="15" customHeight="1" x14ac:dyDescent="0.25">
      <c r="A125" s="44" t="s">
        <v>40</v>
      </c>
      <c r="B125" s="44" t="s">
        <v>258</v>
      </c>
      <c r="C125" s="44">
        <v>2026</v>
      </c>
      <c r="D125" s="44" t="s">
        <v>242</v>
      </c>
      <c r="E125" s="44" t="s">
        <v>116</v>
      </c>
      <c r="F125" s="81" t="s">
        <v>256</v>
      </c>
      <c r="G125" s="44" t="s">
        <v>274</v>
      </c>
      <c r="H125" s="55" t="s">
        <v>107</v>
      </c>
      <c r="I125" s="44"/>
      <c r="J125" s="44" t="s">
        <v>77</v>
      </c>
      <c r="K125" t="s">
        <v>275</v>
      </c>
    </row>
    <row r="126" spans="1:11" ht="15" customHeight="1" x14ac:dyDescent="0.25">
      <c r="A126" s="40" t="s">
        <v>41</v>
      </c>
      <c r="B126" s="40" t="s">
        <v>264</v>
      </c>
      <c r="C126" s="40">
        <v>2026</v>
      </c>
      <c r="D126" s="40" t="s">
        <v>265</v>
      </c>
      <c r="E126" s="40" t="s">
        <v>81</v>
      </c>
      <c r="F126" s="79" t="s">
        <v>266</v>
      </c>
      <c r="G126" s="40" t="s">
        <v>75</v>
      </c>
      <c r="H126" s="82" t="s">
        <v>103</v>
      </c>
      <c r="I126" s="40"/>
      <c r="J126" s="40" t="s">
        <v>77</v>
      </c>
      <c r="K126" t="s">
        <v>276</v>
      </c>
    </row>
    <row r="127" spans="1:11" ht="15" customHeight="1" x14ac:dyDescent="0.25">
      <c r="A127" s="44" t="s">
        <v>41</v>
      </c>
      <c r="B127" s="44" t="s">
        <v>264</v>
      </c>
      <c r="C127" s="44">
        <v>2026</v>
      </c>
      <c r="D127" s="44" t="s">
        <v>265</v>
      </c>
      <c r="E127" s="44" t="s">
        <v>85</v>
      </c>
      <c r="F127" s="81" t="s">
        <v>268</v>
      </c>
      <c r="G127" s="44" t="s">
        <v>75</v>
      </c>
      <c r="H127" s="83" t="s">
        <v>83</v>
      </c>
      <c r="I127" s="55" t="s">
        <v>167</v>
      </c>
      <c r="J127" s="44" t="s">
        <v>77</v>
      </c>
      <c r="K127" t="s">
        <v>277</v>
      </c>
    </row>
    <row r="128" spans="1:11" ht="15" customHeight="1" x14ac:dyDescent="0.25">
      <c r="A128" s="40" t="s">
        <v>47</v>
      </c>
      <c r="B128" s="40" t="s">
        <v>278</v>
      </c>
      <c r="C128" s="40">
        <v>2026</v>
      </c>
      <c r="D128" s="40" t="s">
        <v>265</v>
      </c>
      <c r="E128" s="40" t="s">
        <v>81</v>
      </c>
      <c r="F128" s="79" t="s">
        <v>279</v>
      </c>
      <c r="G128" s="40" t="s">
        <v>106</v>
      </c>
      <c r="H128" s="46" t="s">
        <v>107</v>
      </c>
      <c r="I128" s="40"/>
      <c r="J128" s="40" t="s">
        <v>77</v>
      </c>
      <c r="K128" t="s">
        <v>280</v>
      </c>
    </row>
    <row r="129" spans="1:11" ht="15" customHeight="1" x14ac:dyDescent="0.25">
      <c r="A129" s="44" t="s">
        <v>47</v>
      </c>
      <c r="B129" s="44" t="s">
        <v>278</v>
      </c>
      <c r="C129" s="44">
        <v>2026</v>
      </c>
      <c r="D129" s="44" t="s">
        <v>265</v>
      </c>
      <c r="E129" s="44" t="s">
        <v>116</v>
      </c>
      <c r="F129" s="81" t="s">
        <v>281</v>
      </c>
      <c r="G129" s="44" t="s">
        <v>108</v>
      </c>
      <c r="H129" s="84" t="s">
        <v>76</v>
      </c>
      <c r="I129" s="44"/>
      <c r="J129" s="44" t="s">
        <v>77</v>
      </c>
      <c r="K129" t="s">
        <v>282</v>
      </c>
    </row>
    <row r="130" spans="1:11" ht="15" customHeight="1" x14ac:dyDescent="0.25">
      <c r="A130" s="40" t="s">
        <v>47</v>
      </c>
      <c r="B130" s="40" t="s">
        <v>278</v>
      </c>
      <c r="C130" s="40">
        <v>2026</v>
      </c>
      <c r="D130" s="40" t="s">
        <v>265</v>
      </c>
      <c r="E130" s="40" t="s">
        <v>85</v>
      </c>
      <c r="F130" s="79" t="s">
        <v>283</v>
      </c>
      <c r="G130" s="40" t="s">
        <v>220</v>
      </c>
      <c r="H130" s="85" t="s">
        <v>83</v>
      </c>
      <c r="I130" s="46" t="s">
        <v>167</v>
      </c>
      <c r="J130" s="40" t="s">
        <v>77</v>
      </c>
      <c r="K130" t="s">
        <v>284</v>
      </c>
    </row>
    <row r="131" spans="1:11" ht="15" customHeight="1" x14ac:dyDescent="0.25">
      <c r="A131" s="44" t="s">
        <v>47</v>
      </c>
      <c r="B131" s="44" t="s">
        <v>278</v>
      </c>
      <c r="C131" s="44">
        <v>2026</v>
      </c>
      <c r="D131" s="44" t="s">
        <v>265</v>
      </c>
      <c r="E131" s="44" t="s">
        <v>85</v>
      </c>
      <c r="F131" s="81" t="s">
        <v>285</v>
      </c>
      <c r="G131" s="44" t="s">
        <v>75</v>
      </c>
      <c r="H131" s="83" t="s">
        <v>83</v>
      </c>
      <c r="I131" s="55" t="s">
        <v>242</v>
      </c>
      <c r="J131" s="44" t="s">
        <v>77</v>
      </c>
      <c r="K131" t="s">
        <v>286</v>
      </c>
    </row>
    <row r="132" spans="1:11" ht="15" customHeight="1" x14ac:dyDescent="0.25">
      <c r="A132" s="40" t="s">
        <v>47</v>
      </c>
      <c r="B132" s="40" t="s">
        <v>278</v>
      </c>
      <c r="C132" s="40">
        <v>2026</v>
      </c>
      <c r="D132" s="40" t="s">
        <v>265</v>
      </c>
      <c r="E132" s="40" t="s">
        <v>85</v>
      </c>
      <c r="F132" s="79" t="s">
        <v>285</v>
      </c>
      <c r="G132" s="40" t="s">
        <v>108</v>
      </c>
      <c r="H132" s="85" t="s">
        <v>83</v>
      </c>
      <c r="I132" s="46" t="s">
        <v>242</v>
      </c>
      <c r="J132" s="40" t="s">
        <v>77</v>
      </c>
      <c r="K132" t="s">
        <v>287</v>
      </c>
    </row>
    <row r="133" spans="1:11" ht="15" customHeight="1" x14ac:dyDescent="0.25">
      <c r="A133" s="44" t="s">
        <v>47</v>
      </c>
      <c r="B133" s="44" t="s">
        <v>278</v>
      </c>
      <c r="C133" s="44">
        <v>2026</v>
      </c>
      <c r="D133" s="44" t="s">
        <v>265</v>
      </c>
      <c r="E133" s="44" t="s">
        <v>85</v>
      </c>
      <c r="F133" s="81" t="s">
        <v>288</v>
      </c>
      <c r="G133" s="44" t="s">
        <v>75</v>
      </c>
      <c r="H133" s="83" t="s">
        <v>83</v>
      </c>
      <c r="I133" s="55" t="s">
        <v>167</v>
      </c>
      <c r="J133" s="44" t="s">
        <v>77</v>
      </c>
      <c r="K133" t="s">
        <v>289</v>
      </c>
    </row>
    <row r="134" spans="1:11" ht="15" customHeight="1" x14ac:dyDescent="0.25">
      <c r="A134" s="40" t="s">
        <v>47</v>
      </c>
      <c r="B134" s="40" t="s">
        <v>278</v>
      </c>
      <c r="C134" s="40">
        <v>2026</v>
      </c>
      <c r="D134" s="40" t="s">
        <v>265</v>
      </c>
      <c r="E134" s="40" t="s">
        <v>81</v>
      </c>
      <c r="F134" s="79" t="s">
        <v>290</v>
      </c>
      <c r="G134" s="40" t="s">
        <v>106</v>
      </c>
      <c r="H134" s="86" t="s">
        <v>96</v>
      </c>
      <c r="I134" s="40"/>
      <c r="J134" s="40" t="s">
        <v>77</v>
      </c>
      <c r="K134" t="s">
        <v>291</v>
      </c>
    </row>
    <row r="135" spans="1:11" ht="15" customHeight="1" x14ac:dyDescent="0.25">
      <c r="A135" s="44" t="s">
        <v>47</v>
      </c>
      <c r="B135" s="44" t="s">
        <v>278</v>
      </c>
      <c r="C135" s="44">
        <v>2026</v>
      </c>
      <c r="D135" s="44" t="s">
        <v>265</v>
      </c>
      <c r="E135" s="44" t="s">
        <v>81</v>
      </c>
      <c r="F135" s="81" t="s">
        <v>292</v>
      </c>
      <c r="G135" s="44" t="s">
        <v>75</v>
      </c>
      <c r="H135" s="83" t="s">
        <v>83</v>
      </c>
      <c r="I135" s="55" t="s">
        <v>242</v>
      </c>
      <c r="J135" s="44" t="s">
        <v>77</v>
      </c>
      <c r="K135" t="s">
        <v>293</v>
      </c>
    </row>
    <row r="136" spans="1:11" ht="15" customHeight="1" x14ac:dyDescent="0.25">
      <c r="A136" s="40" t="s">
        <v>47</v>
      </c>
      <c r="B136" s="40" t="s">
        <v>278</v>
      </c>
      <c r="C136" s="40">
        <v>2026</v>
      </c>
      <c r="D136" s="40" t="s">
        <v>265</v>
      </c>
      <c r="E136" s="40" t="s">
        <v>81</v>
      </c>
      <c r="F136" s="79" t="s">
        <v>294</v>
      </c>
      <c r="G136" s="40" t="s">
        <v>75</v>
      </c>
      <c r="H136" s="85" t="s">
        <v>83</v>
      </c>
      <c r="I136" s="46" t="s">
        <v>242</v>
      </c>
      <c r="J136" s="40" t="s">
        <v>77</v>
      </c>
      <c r="K136" t="s">
        <v>295</v>
      </c>
    </row>
    <row r="137" spans="1:11" ht="15" customHeight="1" x14ac:dyDescent="0.25">
      <c r="A137" s="44" t="s">
        <v>47</v>
      </c>
      <c r="B137" s="44" t="s">
        <v>278</v>
      </c>
      <c r="C137" s="44">
        <v>2026</v>
      </c>
      <c r="D137" s="44" t="s">
        <v>265</v>
      </c>
      <c r="E137" s="44" t="s">
        <v>81</v>
      </c>
      <c r="F137" s="81" t="s">
        <v>296</v>
      </c>
      <c r="G137" s="44" t="s">
        <v>75</v>
      </c>
      <c r="H137" s="83" t="s">
        <v>83</v>
      </c>
      <c r="I137" s="55" t="s">
        <v>242</v>
      </c>
      <c r="J137" s="44" t="s">
        <v>77</v>
      </c>
      <c r="K137" t="s">
        <v>297</v>
      </c>
    </row>
    <row r="138" spans="1:11" ht="15" customHeight="1" x14ac:dyDescent="0.25">
      <c r="A138" s="40" t="s">
        <v>47</v>
      </c>
      <c r="B138" s="40" t="s">
        <v>278</v>
      </c>
      <c r="C138" s="40">
        <v>2026</v>
      </c>
      <c r="D138" s="40" t="s">
        <v>265</v>
      </c>
      <c r="E138" s="40" t="s">
        <v>81</v>
      </c>
      <c r="F138" s="79" t="s">
        <v>298</v>
      </c>
      <c r="G138" s="40" t="s">
        <v>222</v>
      </c>
      <c r="H138" s="85" t="s">
        <v>83</v>
      </c>
      <c r="I138" s="46" t="s">
        <v>242</v>
      </c>
      <c r="J138" s="40" t="s">
        <v>77</v>
      </c>
      <c r="K138" t="s">
        <v>299</v>
      </c>
    </row>
    <row r="139" spans="1:11" ht="15" customHeight="1" x14ac:dyDescent="0.25">
      <c r="A139" s="44" t="s">
        <v>47</v>
      </c>
      <c r="B139" s="44" t="s">
        <v>278</v>
      </c>
      <c r="C139" s="44">
        <v>2026</v>
      </c>
      <c r="D139" s="44" t="s">
        <v>265</v>
      </c>
      <c r="E139" s="44" t="s">
        <v>300</v>
      </c>
      <c r="F139" s="81" t="s">
        <v>301</v>
      </c>
      <c r="G139" s="44" t="s">
        <v>75</v>
      </c>
      <c r="H139" s="83" t="s">
        <v>83</v>
      </c>
      <c r="I139" s="55" t="s">
        <v>242</v>
      </c>
      <c r="J139" s="44" t="s">
        <v>77</v>
      </c>
      <c r="K139" t="s">
        <v>302</v>
      </c>
    </row>
    <row r="140" spans="1:11" ht="15" customHeight="1" x14ac:dyDescent="0.25">
      <c r="A140" s="40" t="s">
        <v>47</v>
      </c>
      <c r="B140" s="40" t="s">
        <v>278</v>
      </c>
      <c r="C140" s="40">
        <v>2026</v>
      </c>
      <c r="D140" s="40" t="s">
        <v>265</v>
      </c>
      <c r="E140" s="40" t="s">
        <v>300</v>
      </c>
      <c r="F140" s="79" t="s">
        <v>303</v>
      </c>
      <c r="G140" s="40" t="s">
        <v>75</v>
      </c>
      <c r="H140" s="85" t="s">
        <v>83</v>
      </c>
      <c r="I140" s="46" t="s">
        <v>242</v>
      </c>
      <c r="J140" s="40" t="s">
        <v>77</v>
      </c>
      <c r="K140" t="s">
        <v>304</v>
      </c>
    </row>
    <row r="141" spans="1:11" ht="15" customHeight="1" x14ac:dyDescent="0.25">
      <c r="A141" s="44" t="s">
        <v>47</v>
      </c>
      <c r="B141" s="44" t="s">
        <v>278</v>
      </c>
      <c r="C141" s="44">
        <v>2026</v>
      </c>
      <c r="D141" s="44" t="s">
        <v>265</v>
      </c>
      <c r="E141" s="44" t="s">
        <v>300</v>
      </c>
      <c r="F141" s="81" t="s">
        <v>305</v>
      </c>
      <c r="G141" s="44" t="s">
        <v>75</v>
      </c>
      <c r="H141" s="87" t="s">
        <v>306</v>
      </c>
      <c r="I141" s="44"/>
      <c r="J141" s="44" t="s">
        <v>77</v>
      </c>
      <c r="K141" t="s">
        <v>307</v>
      </c>
    </row>
    <row r="142" spans="1:11" ht="15" customHeight="1" x14ac:dyDescent="0.25">
      <c r="A142" s="40" t="s">
        <v>47</v>
      </c>
      <c r="B142" s="40" t="s">
        <v>278</v>
      </c>
      <c r="C142" s="40">
        <v>2026</v>
      </c>
      <c r="D142" s="40" t="s">
        <v>265</v>
      </c>
      <c r="E142" s="40" t="s">
        <v>233</v>
      </c>
      <c r="F142" s="79" t="s">
        <v>308</v>
      </c>
      <c r="G142" s="40" t="s">
        <v>75</v>
      </c>
      <c r="H142" s="80" t="s">
        <v>76</v>
      </c>
      <c r="I142" s="40"/>
      <c r="J142" s="40" t="s">
        <v>77</v>
      </c>
      <c r="K142" t="s">
        <v>309</v>
      </c>
    </row>
    <row r="143" spans="1:11" ht="15" customHeight="1" x14ac:dyDescent="0.25">
      <c r="A143" s="44" t="s">
        <v>47</v>
      </c>
      <c r="B143" s="44" t="s">
        <v>278</v>
      </c>
      <c r="C143" s="44">
        <v>2026</v>
      </c>
      <c r="D143" s="44" t="s">
        <v>265</v>
      </c>
      <c r="E143" s="44" t="s">
        <v>300</v>
      </c>
      <c r="F143" s="81" t="s">
        <v>310</v>
      </c>
      <c r="G143" s="44" t="s">
        <v>75</v>
      </c>
      <c r="H143" s="83" t="s">
        <v>83</v>
      </c>
      <c r="I143" s="55" t="s">
        <v>242</v>
      </c>
      <c r="J143" s="44" t="s">
        <v>77</v>
      </c>
      <c r="K143" t="s">
        <v>311</v>
      </c>
    </row>
    <row r="144" spans="1:11" ht="15" customHeight="1" x14ac:dyDescent="0.25">
      <c r="A144" s="40" t="s">
        <v>47</v>
      </c>
      <c r="B144" s="40" t="s">
        <v>278</v>
      </c>
      <c r="C144" s="40">
        <v>2026</v>
      </c>
      <c r="D144" s="40" t="s">
        <v>265</v>
      </c>
      <c r="E144" s="40" t="s">
        <v>300</v>
      </c>
      <c r="F144" s="79" t="s">
        <v>312</v>
      </c>
      <c r="G144" s="40" t="s">
        <v>75</v>
      </c>
      <c r="H144" s="85" t="s">
        <v>83</v>
      </c>
      <c r="I144" s="46" t="s">
        <v>242</v>
      </c>
      <c r="J144" s="40" t="s">
        <v>77</v>
      </c>
      <c r="K144" t="s">
        <v>313</v>
      </c>
    </row>
    <row r="145" spans="1:11" ht="15" customHeight="1" x14ac:dyDescent="0.25">
      <c r="A145" s="44" t="s">
        <v>47</v>
      </c>
      <c r="B145" s="44" t="s">
        <v>278</v>
      </c>
      <c r="C145" s="44">
        <v>2026</v>
      </c>
      <c r="D145" s="44" t="s">
        <v>265</v>
      </c>
      <c r="E145" s="44" t="s">
        <v>300</v>
      </c>
      <c r="F145" s="81" t="s">
        <v>314</v>
      </c>
      <c r="G145" s="44" t="s">
        <v>75</v>
      </c>
      <c r="H145" s="83" t="s">
        <v>83</v>
      </c>
      <c r="I145" s="55" t="s">
        <v>242</v>
      </c>
      <c r="J145" s="44" t="s">
        <v>77</v>
      </c>
      <c r="K145" t="s">
        <v>315</v>
      </c>
    </row>
    <row r="146" spans="1:11" ht="15" customHeight="1" x14ac:dyDescent="0.25">
      <c r="A146" s="40" t="s">
        <v>47</v>
      </c>
      <c r="B146" s="40" t="s">
        <v>316</v>
      </c>
      <c r="C146" s="40">
        <v>2026</v>
      </c>
      <c r="D146" s="40" t="s">
        <v>265</v>
      </c>
      <c r="E146" s="40" t="s">
        <v>81</v>
      </c>
      <c r="F146" s="79" t="s">
        <v>317</v>
      </c>
      <c r="G146" s="40" t="s">
        <v>75</v>
      </c>
      <c r="H146" s="85" t="s">
        <v>83</v>
      </c>
      <c r="I146" s="46" t="s">
        <v>242</v>
      </c>
      <c r="J146" s="40" t="s">
        <v>77</v>
      </c>
      <c r="K146" t="s">
        <v>318</v>
      </c>
    </row>
    <row r="147" spans="1:11" ht="15" customHeight="1" x14ac:dyDescent="0.25">
      <c r="A147" s="44" t="s">
        <v>49</v>
      </c>
      <c r="B147" s="44" t="s">
        <v>319</v>
      </c>
      <c r="C147" s="44">
        <v>2026</v>
      </c>
      <c r="D147" s="44" t="s">
        <v>265</v>
      </c>
      <c r="E147" s="44" t="s">
        <v>300</v>
      </c>
      <c r="F147" s="81" t="s">
        <v>320</v>
      </c>
      <c r="G147" s="44" t="s">
        <v>75</v>
      </c>
      <c r="H147" s="83" t="s">
        <v>83</v>
      </c>
      <c r="I147" s="55" t="s">
        <v>242</v>
      </c>
      <c r="J147" s="44" t="s">
        <v>77</v>
      </c>
      <c r="K147" t="s">
        <v>321</v>
      </c>
    </row>
    <row r="148" spans="1:11" ht="15" customHeight="1" x14ac:dyDescent="0.25">
      <c r="A148" s="40" t="s">
        <v>49</v>
      </c>
      <c r="B148" s="40" t="s">
        <v>319</v>
      </c>
      <c r="C148" s="40">
        <v>2026</v>
      </c>
      <c r="D148" s="40" t="s">
        <v>265</v>
      </c>
      <c r="E148" s="40" t="s">
        <v>300</v>
      </c>
      <c r="F148" s="79" t="s">
        <v>322</v>
      </c>
      <c r="G148" s="40" t="s">
        <v>75</v>
      </c>
      <c r="H148" s="85" t="s">
        <v>83</v>
      </c>
      <c r="I148" s="46" t="s">
        <v>242</v>
      </c>
      <c r="J148" s="40" t="s">
        <v>77</v>
      </c>
      <c r="K148" t="s">
        <v>323</v>
      </c>
    </row>
    <row r="149" spans="1:11" ht="15" customHeight="1" x14ac:dyDescent="0.25">
      <c r="A149" s="44" t="s">
        <v>49</v>
      </c>
      <c r="B149" s="44" t="s">
        <v>319</v>
      </c>
      <c r="C149" s="44">
        <v>2026</v>
      </c>
      <c r="D149" s="44" t="s">
        <v>265</v>
      </c>
      <c r="E149" s="44" t="s">
        <v>81</v>
      </c>
      <c r="F149" s="81" t="s">
        <v>324</v>
      </c>
      <c r="G149" s="44" t="s">
        <v>108</v>
      </c>
      <c r="H149" s="88" t="s">
        <v>96</v>
      </c>
      <c r="I149" s="44"/>
      <c r="J149" s="44" t="s">
        <v>77</v>
      </c>
      <c r="K149" t="s">
        <v>325</v>
      </c>
    </row>
    <row r="150" spans="1:11" ht="15" customHeight="1" x14ac:dyDescent="0.25">
      <c r="A150" s="40" t="s">
        <v>49</v>
      </c>
      <c r="B150" s="40" t="s">
        <v>326</v>
      </c>
      <c r="C150" s="40">
        <v>2026</v>
      </c>
      <c r="D150" s="40" t="s">
        <v>327</v>
      </c>
      <c r="E150" s="40" t="s">
        <v>328</v>
      </c>
      <c r="F150" s="79" t="s">
        <v>329</v>
      </c>
      <c r="G150" s="40" t="s">
        <v>161</v>
      </c>
      <c r="H150" s="86" t="s">
        <v>96</v>
      </c>
      <c r="I150" s="40"/>
      <c r="J150" s="40" t="s">
        <v>77</v>
      </c>
      <c r="K150" t="s">
        <v>330</v>
      </c>
    </row>
    <row r="151" spans="1:11" ht="15" customHeight="1" x14ac:dyDescent="0.25">
      <c r="A151" s="44" t="s">
        <v>49</v>
      </c>
      <c r="B151" s="44" t="s">
        <v>331</v>
      </c>
      <c r="C151" s="44">
        <v>2026</v>
      </c>
      <c r="D151" s="44" t="s">
        <v>327</v>
      </c>
      <c r="E151" s="44" t="s">
        <v>85</v>
      </c>
      <c r="F151" s="81" t="s">
        <v>332</v>
      </c>
      <c r="G151" s="44" t="s">
        <v>75</v>
      </c>
      <c r="H151" s="83" t="s">
        <v>83</v>
      </c>
      <c r="I151" s="44"/>
      <c r="J151" s="44" t="s">
        <v>77</v>
      </c>
      <c r="K151" t="s">
        <v>333</v>
      </c>
    </row>
    <row r="152" spans="1:11" ht="15" customHeight="1" x14ac:dyDescent="0.25">
      <c r="A152" s="40" t="s">
        <v>49</v>
      </c>
      <c r="B152" s="40" t="s">
        <v>331</v>
      </c>
      <c r="C152" s="40">
        <v>2026</v>
      </c>
      <c r="D152" s="40" t="s">
        <v>327</v>
      </c>
      <c r="E152" s="40" t="s">
        <v>85</v>
      </c>
      <c r="F152" s="79" t="s">
        <v>334</v>
      </c>
      <c r="G152" s="40" t="s">
        <v>102</v>
      </c>
      <c r="H152" s="86" t="s">
        <v>96</v>
      </c>
      <c r="I152" s="40"/>
      <c r="J152" s="40" t="s">
        <v>77</v>
      </c>
      <c r="K152" t="s">
        <v>335</v>
      </c>
    </row>
    <row r="153" spans="1:11" ht="15" customHeight="1" x14ac:dyDescent="0.25">
      <c r="A153" s="44" t="s">
        <v>49</v>
      </c>
      <c r="B153" s="44" t="s">
        <v>331</v>
      </c>
      <c r="C153" s="44">
        <v>2026</v>
      </c>
      <c r="D153" s="44" t="s">
        <v>327</v>
      </c>
      <c r="E153" s="44" t="s">
        <v>85</v>
      </c>
      <c r="F153" s="81" t="s">
        <v>336</v>
      </c>
      <c r="G153" s="44" t="s">
        <v>75</v>
      </c>
      <c r="H153" s="83" t="s">
        <v>83</v>
      </c>
      <c r="I153" s="55" t="s">
        <v>119</v>
      </c>
      <c r="J153" s="44" t="s">
        <v>77</v>
      </c>
      <c r="K153" t="s">
        <v>337</v>
      </c>
    </row>
    <row r="154" spans="1:11" ht="15" customHeight="1" x14ac:dyDescent="0.25">
      <c r="A154" s="40" t="s">
        <v>49</v>
      </c>
      <c r="B154" s="40" t="s">
        <v>331</v>
      </c>
      <c r="C154" s="40">
        <v>2026</v>
      </c>
      <c r="D154" s="40" t="s">
        <v>327</v>
      </c>
      <c r="E154" s="40" t="s">
        <v>85</v>
      </c>
      <c r="F154" s="79" t="s">
        <v>338</v>
      </c>
      <c r="G154" s="40" t="s">
        <v>75</v>
      </c>
      <c r="H154" s="85" t="s">
        <v>83</v>
      </c>
      <c r="I154" s="46" t="s">
        <v>119</v>
      </c>
      <c r="J154" s="40" t="s">
        <v>77</v>
      </c>
      <c r="K154" t="s">
        <v>339</v>
      </c>
    </row>
    <row r="155" spans="1:11" ht="15" customHeight="1" x14ac:dyDescent="0.25">
      <c r="A155" s="44" t="s">
        <v>49</v>
      </c>
      <c r="B155" s="44" t="s">
        <v>331</v>
      </c>
      <c r="C155" s="44">
        <v>2026</v>
      </c>
      <c r="D155" s="44" t="s">
        <v>327</v>
      </c>
      <c r="E155" s="44" t="s">
        <v>81</v>
      </c>
      <c r="F155" s="81" t="s">
        <v>340</v>
      </c>
      <c r="G155" s="44" t="s">
        <v>75</v>
      </c>
      <c r="H155" s="87" t="s">
        <v>306</v>
      </c>
      <c r="I155" s="55" t="s">
        <v>265</v>
      </c>
      <c r="J155" s="44" t="s">
        <v>77</v>
      </c>
      <c r="K155" t="s">
        <v>341</v>
      </c>
    </row>
    <row r="156" spans="1:11" ht="15" customHeight="1" x14ac:dyDescent="0.25">
      <c r="A156" s="40" t="s">
        <v>49</v>
      </c>
      <c r="B156" s="40" t="s">
        <v>342</v>
      </c>
      <c r="C156" s="40">
        <v>2026</v>
      </c>
      <c r="D156" s="40" t="s">
        <v>327</v>
      </c>
      <c r="E156" s="40" t="s">
        <v>81</v>
      </c>
      <c r="F156" s="79" t="s">
        <v>343</v>
      </c>
      <c r="G156" s="40" t="s">
        <v>75</v>
      </c>
      <c r="H156" s="85" t="s">
        <v>83</v>
      </c>
      <c r="I156" s="46" t="s">
        <v>242</v>
      </c>
      <c r="J156" s="40" t="s">
        <v>77</v>
      </c>
      <c r="K156" t="s">
        <v>344</v>
      </c>
    </row>
    <row r="157" spans="1:11" ht="15" customHeight="1" x14ac:dyDescent="0.25">
      <c r="A157" s="44" t="s">
        <v>49</v>
      </c>
      <c r="B157" s="44" t="s">
        <v>342</v>
      </c>
      <c r="C157" s="44">
        <v>2026</v>
      </c>
      <c r="D157" s="44" t="s">
        <v>327</v>
      </c>
      <c r="E157" s="44" t="s">
        <v>81</v>
      </c>
      <c r="F157" s="81" t="s">
        <v>345</v>
      </c>
      <c r="G157" s="44" t="s">
        <v>106</v>
      </c>
      <c r="H157" s="88" t="s">
        <v>96</v>
      </c>
      <c r="I157" s="55" t="s">
        <v>265</v>
      </c>
      <c r="J157" s="44" t="s">
        <v>77</v>
      </c>
      <c r="K157" t="s">
        <v>346</v>
      </c>
    </row>
    <row r="158" spans="1:11" ht="15" customHeight="1" x14ac:dyDescent="0.25">
      <c r="A158" s="40" t="s">
        <v>49</v>
      </c>
      <c r="B158" s="40" t="s">
        <v>342</v>
      </c>
      <c r="C158" s="40">
        <v>2026</v>
      </c>
      <c r="D158" s="40" t="s">
        <v>327</v>
      </c>
      <c r="E158" s="40" t="s">
        <v>81</v>
      </c>
      <c r="F158" s="79" t="s">
        <v>347</v>
      </c>
      <c r="G158" s="40" t="s">
        <v>75</v>
      </c>
      <c r="H158" s="89" t="s">
        <v>306</v>
      </c>
      <c r="I158" s="46" t="s">
        <v>265</v>
      </c>
      <c r="J158" s="40" t="s">
        <v>77</v>
      </c>
      <c r="K158" t="s">
        <v>348</v>
      </c>
    </row>
    <row r="159" spans="1:11" ht="15" customHeight="1" x14ac:dyDescent="0.25">
      <c r="A159" s="44" t="s">
        <v>49</v>
      </c>
      <c r="B159" s="44" t="s">
        <v>342</v>
      </c>
      <c r="C159" s="44">
        <v>2026</v>
      </c>
      <c r="D159" s="44" t="s">
        <v>327</v>
      </c>
      <c r="E159" s="44" t="s">
        <v>81</v>
      </c>
      <c r="F159" s="81" t="s">
        <v>347</v>
      </c>
      <c r="G159" s="44" t="s">
        <v>349</v>
      </c>
      <c r="H159" s="87" t="s">
        <v>306</v>
      </c>
      <c r="I159" s="55" t="s">
        <v>265</v>
      </c>
      <c r="J159" s="44" t="s">
        <v>77</v>
      </c>
      <c r="K159" t="s">
        <v>350</v>
      </c>
    </row>
    <row r="160" spans="1:11" ht="15" customHeight="1" x14ac:dyDescent="0.25">
      <c r="A160" s="40" t="s">
        <v>49</v>
      </c>
      <c r="B160" s="40" t="s">
        <v>342</v>
      </c>
      <c r="C160" s="40">
        <v>2026</v>
      </c>
      <c r="D160" s="40" t="s">
        <v>327</v>
      </c>
      <c r="E160" s="40" t="s">
        <v>81</v>
      </c>
      <c r="F160" s="79" t="s">
        <v>347</v>
      </c>
      <c r="G160" s="40" t="s">
        <v>102</v>
      </c>
      <c r="H160" s="89" t="s">
        <v>306</v>
      </c>
      <c r="I160" s="46" t="s">
        <v>265</v>
      </c>
      <c r="J160" s="40" t="s">
        <v>77</v>
      </c>
      <c r="K160" t="s">
        <v>351</v>
      </c>
    </row>
    <row r="161" spans="1:11" ht="15" customHeight="1" x14ac:dyDescent="0.25">
      <c r="A161" s="44" t="s">
        <v>49</v>
      </c>
      <c r="B161" s="44" t="s">
        <v>342</v>
      </c>
      <c r="C161" s="44">
        <v>2026</v>
      </c>
      <c r="D161" s="44" t="s">
        <v>327</v>
      </c>
      <c r="E161" s="44" t="s">
        <v>81</v>
      </c>
      <c r="F161" s="81" t="s">
        <v>352</v>
      </c>
      <c r="G161" s="44" t="s">
        <v>75</v>
      </c>
      <c r="H161" s="87" t="s">
        <v>306</v>
      </c>
      <c r="I161" s="55" t="s">
        <v>265</v>
      </c>
      <c r="J161" s="44" t="s">
        <v>77</v>
      </c>
      <c r="K161" t="s">
        <v>353</v>
      </c>
    </row>
    <row r="162" spans="1:11" ht="15" customHeight="1" x14ac:dyDescent="0.25">
      <c r="A162" s="40" t="s">
        <v>49</v>
      </c>
      <c r="B162" s="40" t="s">
        <v>342</v>
      </c>
      <c r="C162" s="40">
        <v>2026</v>
      </c>
      <c r="D162" s="40" t="s">
        <v>327</v>
      </c>
      <c r="E162" s="40" t="s">
        <v>81</v>
      </c>
      <c r="F162" s="79" t="s">
        <v>354</v>
      </c>
      <c r="G162" s="40" t="s">
        <v>106</v>
      </c>
      <c r="H162" s="86" t="s">
        <v>96</v>
      </c>
      <c r="I162" s="46" t="s">
        <v>205</v>
      </c>
      <c r="J162" s="40" t="s">
        <v>77</v>
      </c>
      <c r="K162" t="s">
        <v>355</v>
      </c>
    </row>
    <row r="163" spans="1:11" ht="15" customHeight="1" x14ac:dyDescent="0.25">
      <c r="A163" s="44" t="s">
        <v>49</v>
      </c>
      <c r="B163" s="44" t="s">
        <v>342</v>
      </c>
      <c r="C163" s="44">
        <v>2026</v>
      </c>
      <c r="D163" s="44" t="s">
        <v>327</v>
      </c>
      <c r="E163" s="44" t="s">
        <v>81</v>
      </c>
      <c r="F163" s="81" t="s">
        <v>356</v>
      </c>
      <c r="G163" s="44" t="s">
        <v>75</v>
      </c>
      <c r="H163" s="87" t="s">
        <v>306</v>
      </c>
      <c r="I163" s="55" t="s">
        <v>265</v>
      </c>
      <c r="J163" s="44" t="s">
        <v>77</v>
      </c>
      <c r="K163" t="s">
        <v>357</v>
      </c>
    </row>
    <row r="164" spans="1:11" ht="15" customHeight="1" x14ac:dyDescent="0.25">
      <c r="A164" s="40" t="s">
        <v>49</v>
      </c>
      <c r="B164" s="40" t="s">
        <v>342</v>
      </c>
      <c r="C164" s="40">
        <v>2026</v>
      </c>
      <c r="D164" s="40" t="s">
        <v>327</v>
      </c>
      <c r="E164" s="40" t="s">
        <v>81</v>
      </c>
      <c r="F164" s="79" t="s">
        <v>358</v>
      </c>
      <c r="G164" s="40" t="s">
        <v>75</v>
      </c>
      <c r="H164" s="89" t="s">
        <v>306</v>
      </c>
      <c r="I164" s="46" t="s">
        <v>265</v>
      </c>
      <c r="J164" s="40" t="s">
        <v>77</v>
      </c>
      <c r="K164" t="s">
        <v>359</v>
      </c>
    </row>
    <row r="165" spans="1:11" ht="15" customHeight="1" x14ac:dyDescent="0.25">
      <c r="A165" s="44" t="s">
        <v>49</v>
      </c>
      <c r="B165" s="44" t="s">
        <v>342</v>
      </c>
      <c r="C165" s="44">
        <v>2026</v>
      </c>
      <c r="D165" s="44" t="s">
        <v>327</v>
      </c>
      <c r="E165" s="44" t="s">
        <v>81</v>
      </c>
      <c r="F165" s="81" t="s">
        <v>360</v>
      </c>
      <c r="G165" s="44" t="s">
        <v>75</v>
      </c>
      <c r="H165" s="87" t="s">
        <v>306</v>
      </c>
      <c r="I165" s="55" t="s">
        <v>265</v>
      </c>
      <c r="J165" s="44" t="s">
        <v>77</v>
      </c>
      <c r="K165" t="s">
        <v>361</v>
      </c>
    </row>
    <row r="166" spans="1:11" x14ac:dyDescent="0.25">
      <c r="A166" s="101" t="s">
        <v>51</v>
      </c>
      <c r="B166" s="102">
        <v>46210</v>
      </c>
      <c r="C166" s="40">
        <v>2026</v>
      </c>
      <c r="D166" s="44" t="s">
        <v>327</v>
      </c>
      <c r="E166" s="101" t="s">
        <v>300</v>
      </c>
      <c r="F166" t="s">
        <v>391</v>
      </c>
      <c r="G166" s="44" t="s">
        <v>75</v>
      </c>
      <c r="H166" s="87" t="s">
        <v>306</v>
      </c>
      <c r="I166" s="104" t="s">
        <v>265</v>
      </c>
    </row>
    <row r="167" spans="1:11" x14ac:dyDescent="0.25">
      <c r="A167" s="101" t="s">
        <v>51</v>
      </c>
      <c r="B167" s="102">
        <v>46210</v>
      </c>
      <c r="C167" s="44">
        <v>2026</v>
      </c>
      <c r="D167" s="44" t="s">
        <v>327</v>
      </c>
      <c r="E167" s="101" t="s">
        <v>300</v>
      </c>
      <c r="F167" t="s">
        <v>413</v>
      </c>
      <c r="G167" s="44" t="s">
        <v>75</v>
      </c>
      <c r="H167" s="87" t="s">
        <v>306</v>
      </c>
      <c r="I167" s="106" t="s">
        <v>265</v>
      </c>
    </row>
    <row r="168" spans="1:11" x14ac:dyDescent="0.25">
      <c r="A168" s="101" t="s">
        <v>51</v>
      </c>
      <c r="B168" s="102">
        <v>46210</v>
      </c>
      <c r="C168" s="40">
        <v>2026</v>
      </c>
      <c r="D168" s="44" t="s">
        <v>327</v>
      </c>
      <c r="E168" s="101" t="s">
        <v>300</v>
      </c>
      <c r="F168" t="s">
        <v>392</v>
      </c>
      <c r="G168" s="44" t="s">
        <v>75</v>
      </c>
      <c r="H168" s="87" t="s">
        <v>306</v>
      </c>
      <c r="I168" s="106" t="s">
        <v>265</v>
      </c>
    </row>
    <row r="169" spans="1:11" x14ac:dyDescent="0.25">
      <c r="A169" s="101" t="s">
        <v>53</v>
      </c>
      <c r="B169" s="102">
        <v>46216</v>
      </c>
      <c r="C169" s="44">
        <v>2026</v>
      </c>
      <c r="D169" s="44" t="s">
        <v>327</v>
      </c>
      <c r="E169" s="101" t="s">
        <v>300</v>
      </c>
      <c r="F169" t="s">
        <v>393</v>
      </c>
      <c r="G169" s="44" t="s">
        <v>75</v>
      </c>
      <c r="H169" s="87" t="s">
        <v>306</v>
      </c>
      <c r="I169" s="106" t="s">
        <v>265</v>
      </c>
    </row>
    <row r="170" spans="1:11" x14ac:dyDescent="0.25">
      <c r="A170" s="101" t="s">
        <v>53</v>
      </c>
      <c r="B170" s="102">
        <v>46217</v>
      </c>
      <c r="C170" s="40">
        <v>2026</v>
      </c>
      <c r="D170" s="44" t="s">
        <v>327</v>
      </c>
      <c r="E170" s="101" t="s">
        <v>300</v>
      </c>
      <c r="F170" t="s">
        <v>394</v>
      </c>
      <c r="G170" s="44" t="s">
        <v>75</v>
      </c>
      <c r="H170" s="87" t="s">
        <v>306</v>
      </c>
      <c r="I170" s="106" t="s">
        <v>265</v>
      </c>
    </row>
    <row r="171" spans="1:11" x14ac:dyDescent="0.25">
      <c r="A171" s="101" t="s">
        <v>53</v>
      </c>
      <c r="B171" s="102">
        <v>46217</v>
      </c>
      <c r="C171" s="44">
        <v>2026</v>
      </c>
      <c r="D171" s="44" t="s">
        <v>327</v>
      </c>
      <c r="E171" s="101" t="s">
        <v>300</v>
      </c>
      <c r="F171" t="s">
        <v>395</v>
      </c>
      <c r="G171" s="44" t="s">
        <v>75</v>
      </c>
      <c r="H171" s="103" t="s">
        <v>306</v>
      </c>
      <c r="I171" s="106" t="s">
        <v>265</v>
      </c>
    </row>
    <row r="172" spans="1:11" x14ac:dyDescent="0.25">
      <c r="A172" s="101" t="s">
        <v>53</v>
      </c>
      <c r="B172" s="102">
        <v>46218</v>
      </c>
      <c r="C172" s="40">
        <v>2026</v>
      </c>
      <c r="D172" s="44" t="s">
        <v>327</v>
      </c>
      <c r="E172" s="101" t="s">
        <v>300</v>
      </c>
      <c r="F172" t="s">
        <v>396</v>
      </c>
      <c r="G172" s="44" t="s">
        <v>75</v>
      </c>
      <c r="H172" s="103" t="s">
        <v>306</v>
      </c>
      <c r="I172" s="106" t="s">
        <v>265</v>
      </c>
    </row>
    <row r="173" spans="1:11" x14ac:dyDescent="0.25">
      <c r="A173" s="101" t="s">
        <v>53</v>
      </c>
      <c r="B173" s="102">
        <v>46216</v>
      </c>
      <c r="C173" s="44">
        <v>2026</v>
      </c>
      <c r="D173" s="44" t="s">
        <v>327</v>
      </c>
      <c r="E173" s="101" t="s">
        <v>104</v>
      </c>
      <c r="F173" t="s">
        <v>398</v>
      </c>
      <c r="G173" s="105" t="s">
        <v>397</v>
      </c>
      <c r="H173" s="103" t="s">
        <v>83</v>
      </c>
      <c r="I173" s="106" t="s">
        <v>167</v>
      </c>
    </row>
    <row r="174" spans="1:11" x14ac:dyDescent="0.25">
      <c r="A174" s="101" t="s">
        <v>53</v>
      </c>
      <c r="B174" s="102">
        <v>46218</v>
      </c>
      <c r="C174" s="40">
        <v>2026</v>
      </c>
      <c r="D174" s="44" t="s">
        <v>327</v>
      </c>
      <c r="E174" s="101" t="s">
        <v>85</v>
      </c>
      <c r="F174" t="s">
        <v>399</v>
      </c>
      <c r="G174" s="105" t="s">
        <v>112</v>
      </c>
      <c r="H174" s="103" t="s">
        <v>96</v>
      </c>
    </row>
    <row r="175" spans="1:11" x14ac:dyDescent="0.25">
      <c r="A175" s="101" t="s">
        <v>402</v>
      </c>
      <c r="B175" s="102">
        <v>46223</v>
      </c>
      <c r="C175" s="44">
        <v>2026</v>
      </c>
      <c r="D175" s="44" t="s">
        <v>327</v>
      </c>
      <c r="E175" s="101" t="s">
        <v>85</v>
      </c>
      <c r="F175" t="s">
        <v>400</v>
      </c>
      <c r="G175" s="105" t="s">
        <v>75</v>
      </c>
    </row>
    <row r="176" spans="1:11" x14ac:dyDescent="0.25">
      <c r="A176" s="101" t="s">
        <v>51</v>
      </c>
      <c r="B176" s="102">
        <v>46212</v>
      </c>
      <c r="C176" s="40">
        <v>2026</v>
      </c>
      <c r="D176" s="44" t="s">
        <v>327</v>
      </c>
      <c r="E176" s="101" t="s">
        <v>81</v>
      </c>
      <c r="F176" t="s">
        <v>401</v>
      </c>
      <c r="G176" s="105" t="s">
        <v>75</v>
      </c>
      <c r="H176" s="107" t="s">
        <v>83</v>
      </c>
      <c r="I176" s="108" t="s">
        <v>242</v>
      </c>
    </row>
    <row r="177" spans="1:9" x14ac:dyDescent="0.25">
      <c r="A177" s="101" t="s">
        <v>53</v>
      </c>
      <c r="B177" s="102">
        <v>46216</v>
      </c>
      <c r="C177" s="44">
        <v>2026</v>
      </c>
      <c r="D177" s="44" t="s">
        <v>327</v>
      </c>
      <c r="E177" s="101" t="s">
        <v>81</v>
      </c>
      <c r="F177" t="s">
        <v>403</v>
      </c>
      <c r="G177" s="105" t="s">
        <v>75</v>
      </c>
      <c r="H177" s="107" t="s">
        <v>306</v>
      </c>
      <c r="I177" s="108" t="s">
        <v>265</v>
      </c>
    </row>
    <row r="178" spans="1:9" x14ac:dyDescent="0.25">
      <c r="A178" s="101" t="s">
        <v>53</v>
      </c>
      <c r="B178" s="102">
        <v>46219</v>
      </c>
      <c r="C178" s="40">
        <v>2026</v>
      </c>
      <c r="D178" s="44" t="s">
        <v>327</v>
      </c>
      <c r="E178" s="101" t="s">
        <v>81</v>
      </c>
      <c r="F178" t="s">
        <v>404</v>
      </c>
      <c r="G178" s="105" t="s">
        <v>75</v>
      </c>
      <c r="H178" s="107" t="s">
        <v>306</v>
      </c>
      <c r="I178" s="108" t="s">
        <v>265</v>
      </c>
    </row>
    <row r="179" spans="1:9" ht="15.75" x14ac:dyDescent="0.25">
      <c r="A179" s="101" t="s">
        <v>402</v>
      </c>
      <c r="B179" s="102">
        <v>46223</v>
      </c>
      <c r="C179" s="44">
        <v>2026</v>
      </c>
      <c r="D179" s="44" t="s">
        <v>327</v>
      </c>
      <c r="E179" s="101" t="s">
        <v>81</v>
      </c>
      <c r="F179" s="109" t="s">
        <v>405</v>
      </c>
      <c r="G179" s="105" t="s">
        <v>75</v>
      </c>
      <c r="H179" s="107" t="s">
        <v>306</v>
      </c>
      <c r="I179" s="108" t="s">
        <v>265</v>
      </c>
    </row>
    <row r="180" spans="1:9" x14ac:dyDescent="0.25">
      <c r="A180" s="101" t="s">
        <v>406</v>
      </c>
      <c r="B180" s="102">
        <v>46181</v>
      </c>
      <c r="C180" s="40">
        <v>2026</v>
      </c>
      <c r="D180" s="105" t="s">
        <v>265</v>
      </c>
      <c r="E180" s="101" t="s">
        <v>300</v>
      </c>
      <c r="F180" s="101" t="s">
        <v>407</v>
      </c>
      <c r="G180" s="105" t="s">
        <v>75</v>
      </c>
      <c r="H180" s="107" t="s">
        <v>83</v>
      </c>
      <c r="I180" s="108" t="s">
        <v>242</v>
      </c>
    </row>
    <row r="181" spans="1:9" x14ac:dyDescent="0.25">
      <c r="B181" s="102">
        <v>46212</v>
      </c>
      <c r="C181" s="44">
        <v>2026</v>
      </c>
      <c r="D181" s="105" t="s">
        <v>327</v>
      </c>
      <c r="E181" s="101" t="s">
        <v>81</v>
      </c>
      <c r="F181" t="s">
        <v>408</v>
      </c>
      <c r="G181" s="105" t="s">
        <v>75</v>
      </c>
      <c r="H181" s="107" t="s">
        <v>83</v>
      </c>
      <c r="I181" s="108" t="s">
        <v>265</v>
      </c>
    </row>
    <row r="182" spans="1:9" x14ac:dyDescent="0.25">
      <c r="B182" s="102">
        <v>46216</v>
      </c>
      <c r="C182" s="40">
        <v>2026</v>
      </c>
      <c r="D182" s="105" t="s">
        <v>327</v>
      </c>
      <c r="E182" s="101" t="s">
        <v>81</v>
      </c>
      <c r="F182" t="s">
        <v>409</v>
      </c>
      <c r="G182" s="105" t="s">
        <v>75</v>
      </c>
      <c r="H182" s="107" t="s">
        <v>306</v>
      </c>
      <c r="I182" s="108" t="s">
        <v>265</v>
      </c>
    </row>
    <row r="183" spans="1:9" x14ac:dyDescent="0.25">
      <c r="B183" s="102">
        <v>46219</v>
      </c>
      <c r="C183" s="44">
        <v>2026</v>
      </c>
      <c r="D183" s="105" t="s">
        <v>327</v>
      </c>
      <c r="E183" s="101" t="s">
        <v>81</v>
      </c>
      <c r="F183" t="s">
        <v>410</v>
      </c>
      <c r="G183" s="105" t="s">
        <v>75</v>
      </c>
      <c r="H183" s="107" t="s">
        <v>306</v>
      </c>
      <c r="I183" s="108" t="s">
        <v>265</v>
      </c>
    </row>
    <row r="184" spans="1:9" x14ac:dyDescent="0.25">
      <c r="B184" s="102">
        <v>46223</v>
      </c>
      <c r="C184" s="40"/>
      <c r="E184" s="101" t="s">
        <v>81</v>
      </c>
      <c r="F184" t="s">
        <v>411</v>
      </c>
      <c r="G184" s="105" t="s">
        <v>75</v>
      </c>
      <c r="H184" s="107" t="s">
        <v>306</v>
      </c>
      <c r="I184" s="108" t="s">
        <v>265</v>
      </c>
    </row>
    <row r="185" spans="1:9" x14ac:dyDescent="0.25">
      <c r="B185" s="102">
        <v>46223</v>
      </c>
      <c r="C185" s="44"/>
      <c r="E185" s="101" t="s">
        <v>81</v>
      </c>
      <c r="F185" t="s">
        <v>412</v>
      </c>
      <c r="G185" s="105" t="s">
        <v>106</v>
      </c>
      <c r="H185" s="107" t="s">
        <v>107</v>
      </c>
    </row>
    <row r="186" spans="1:9" x14ac:dyDescent="0.25">
      <c r="B186" s="102"/>
      <c r="E186" s="101"/>
      <c r="G186" s="105"/>
    </row>
  </sheetData>
  <autoFilter ref="A3:K123" xr:uid="{00000000-0009-0000-0000-000001000000}">
    <filterColumn colId="4">
      <filters>
        <filter val="Gabriella Reske"/>
      </filters>
    </filterColumn>
  </autoFilter>
  <mergeCells count="2">
    <mergeCell ref="A1:K1"/>
    <mergeCell ref="A2:K2"/>
  </mergeCells>
  <dataValidations disablePrompts="1" count="2">
    <dataValidation type="list" allowBlank="1" sqref="H4:H120" xr:uid="{00000000-0002-0000-0100-000000000000}">
      <formula1>"Kampagne,Super Chat,Direkt,Facebook,Instagram,Folgeprojekt,Sonstige,Nicht erfasst"</formula1>
      <formula2>0</formula2>
    </dataValidation>
    <dataValidation type="list" allowBlank="1" sqref="I4:I120" xr:uid="{00000000-0002-0000-0100-000001000000}">
      <formula1>"Januar,Februar,März,April,Mai,Juni,Juli,August,September,Oktober,November,Dezember"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548235"/>
  </sheetPr>
  <dimension ref="A1:H504"/>
  <sheetViews>
    <sheetView zoomScaleNormal="100" workbookViewId="0">
      <selection activeCell="A505" sqref="A505"/>
    </sheetView>
  </sheetViews>
  <sheetFormatPr baseColWidth="10" defaultColWidth="9.140625" defaultRowHeight="15" x14ac:dyDescent="0.25"/>
  <cols>
    <col min="1" max="1" width="8" customWidth="1"/>
    <col min="2" max="2" width="12" customWidth="1"/>
    <col min="3" max="3" width="22" customWidth="1"/>
    <col min="4" max="5" width="12" customWidth="1"/>
    <col min="6" max="6" width="10" customWidth="1"/>
    <col min="7" max="7" width="14" customWidth="1"/>
    <col min="8" max="8" width="10" customWidth="1"/>
    <col min="9" max="1025" width="8.7109375" customWidth="1"/>
  </cols>
  <sheetData>
    <row r="1" spans="1:8" ht="34.5" customHeight="1" x14ac:dyDescent="0.25">
      <c r="A1" s="110" t="s">
        <v>362</v>
      </c>
      <c r="B1" s="110"/>
      <c r="C1" s="110"/>
      <c r="D1" s="110"/>
      <c r="E1" s="110"/>
      <c r="F1" s="110"/>
      <c r="G1" s="110"/>
    </row>
    <row r="2" spans="1:8" ht="15" customHeight="1" x14ac:dyDescent="0.25">
      <c r="A2" s="111" t="s">
        <v>363</v>
      </c>
      <c r="B2" s="111"/>
      <c r="C2" s="111"/>
      <c r="D2" s="111"/>
      <c r="E2" s="111"/>
      <c r="F2" s="111"/>
      <c r="G2" s="111"/>
    </row>
    <row r="3" spans="1:8" ht="25.5" customHeight="1" x14ac:dyDescent="0.25">
      <c r="A3" s="35" t="s">
        <v>63</v>
      </c>
      <c r="B3" s="35" t="s">
        <v>64</v>
      </c>
      <c r="C3" s="35" t="s">
        <v>12</v>
      </c>
      <c r="D3" s="35" t="s">
        <v>13</v>
      </c>
      <c r="E3" s="35" t="s">
        <v>364</v>
      </c>
      <c r="F3" s="35" t="s">
        <v>365</v>
      </c>
      <c r="G3" s="35" t="s">
        <v>366</v>
      </c>
      <c r="H3" s="36" t="s">
        <v>69</v>
      </c>
    </row>
    <row r="4" spans="1:8" ht="15" hidden="1" customHeight="1" x14ac:dyDescent="0.25">
      <c r="A4" s="37">
        <v>2025</v>
      </c>
      <c r="B4" s="37" t="s">
        <v>244</v>
      </c>
      <c r="C4" s="37" t="s">
        <v>81</v>
      </c>
      <c r="D4" s="90">
        <v>228</v>
      </c>
      <c r="E4" s="90">
        <v>17</v>
      </c>
      <c r="F4" s="37">
        <v>0</v>
      </c>
      <c r="G4" s="91">
        <f t="shared" ref="G4:G67" si="0">IF(D4=0,"-",E4/D4)</f>
        <v>7.4561403508771926E-2</v>
      </c>
      <c r="H4" s="14" t="str">
        <f ca="1">IF(OR(A4="",B4=""),"",IF(EOMONTH(DATE(A4,MATCH(B4,{"Januar","Februar","März","April","Mai","Juni","Juli","August","September","Oktober","November","Dezember"},0),1),0)&lt;=TODAY()-Steuerung!$C$27,"Reif","Frisch"))</f>
        <v>Reif</v>
      </c>
    </row>
    <row r="5" spans="1:8" ht="15" hidden="1" customHeight="1" x14ac:dyDescent="0.25">
      <c r="A5" s="41">
        <v>2025</v>
      </c>
      <c r="B5" s="41" t="s">
        <v>244</v>
      </c>
      <c r="C5" s="41" t="s">
        <v>104</v>
      </c>
      <c r="D5" s="92">
        <v>89</v>
      </c>
      <c r="E5" s="92">
        <v>1</v>
      </c>
      <c r="F5" s="41">
        <v>0</v>
      </c>
      <c r="G5" s="93">
        <f t="shared" si="0"/>
        <v>1.1235955056179775E-2</v>
      </c>
      <c r="H5" s="10" t="str">
        <f ca="1">IF(OR(A5="",B5=""),"",IF(EOMONTH(DATE(A5,MATCH(B5,{"Januar","Februar","März","April","Mai","Juni","Juli","August","September","Oktober","November","Dezember"},0),1),0)&lt;=TODAY()-Steuerung!$C$27,"Reif","Frisch"))</f>
        <v>Reif</v>
      </c>
    </row>
    <row r="6" spans="1:8" ht="15" hidden="1" customHeight="1" x14ac:dyDescent="0.25">
      <c r="A6" s="37">
        <v>2025</v>
      </c>
      <c r="B6" s="37" t="s">
        <v>244</v>
      </c>
      <c r="C6" s="37" t="s">
        <v>73</v>
      </c>
      <c r="D6" s="90">
        <v>167</v>
      </c>
      <c r="E6" s="90">
        <v>6</v>
      </c>
      <c r="F6" s="37">
        <v>0</v>
      </c>
      <c r="G6" s="91">
        <f t="shared" si="0"/>
        <v>3.5928143712574849E-2</v>
      </c>
      <c r="H6" s="14" t="str">
        <f ca="1">IF(OR(A6="",B6=""),"",IF(EOMONTH(DATE(A6,MATCH(B6,{"Januar","Februar","März","April","Mai","Juni","Juli","August","September","Oktober","November","Dezember"},0),1),0)&lt;=TODAY()-Steuerung!$C$27,"Reif","Frisch"))</f>
        <v>Reif</v>
      </c>
    </row>
    <row r="7" spans="1:8" ht="15" hidden="1" customHeight="1" x14ac:dyDescent="0.25">
      <c r="A7" s="41">
        <v>2025</v>
      </c>
      <c r="B7" s="41" t="s">
        <v>367</v>
      </c>
      <c r="C7" s="41" t="s">
        <v>104</v>
      </c>
      <c r="D7" s="92">
        <v>56</v>
      </c>
      <c r="E7" s="92">
        <v>0</v>
      </c>
      <c r="F7" s="41">
        <v>0</v>
      </c>
      <c r="G7" s="93">
        <f t="shared" si="0"/>
        <v>0</v>
      </c>
      <c r="H7" s="10" t="str">
        <f ca="1">IF(OR(A7="",B7=""),"",IF(EOMONTH(DATE(A7,MATCH(B7,{"Januar","Februar","März","April","Mai","Juni","Juli","August","September","Oktober","November","Dezember"},0),1),0)&lt;=TODAY()-Steuerung!$C$27,"Reif","Frisch"))</f>
        <v>Reif</v>
      </c>
    </row>
    <row r="8" spans="1:8" ht="15" hidden="1" customHeight="1" x14ac:dyDescent="0.25">
      <c r="A8" s="37">
        <v>2025</v>
      </c>
      <c r="B8" s="37" t="s">
        <v>367</v>
      </c>
      <c r="C8" s="37" t="s">
        <v>81</v>
      </c>
      <c r="D8" s="90">
        <v>79</v>
      </c>
      <c r="E8" s="90">
        <v>6</v>
      </c>
      <c r="F8" s="37">
        <v>0</v>
      </c>
      <c r="G8" s="91">
        <f t="shared" si="0"/>
        <v>7.5949367088607597E-2</v>
      </c>
      <c r="H8" s="14" t="str">
        <f ca="1">IF(OR(A8="",B8=""),"",IF(EOMONTH(DATE(A8,MATCH(B8,{"Januar","Februar","März","April","Mai","Juni","Juli","August","September","Oktober","November","Dezember"},0),1),0)&lt;=TODAY()-Steuerung!$C$27,"Reif","Frisch"))</f>
        <v>Reif</v>
      </c>
    </row>
    <row r="9" spans="1:8" ht="15" hidden="1" customHeight="1" x14ac:dyDescent="0.25">
      <c r="A9" s="41">
        <v>2025</v>
      </c>
      <c r="B9" s="41" t="s">
        <v>368</v>
      </c>
      <c r="C9" s="41" t="s">
        <v>73</v>
      </c>
      <c r="D9" s="92">
        <v>17</v>
      </c>
      <c r="E9" s="92">
        <v>0</v>
      </c>
      <c r="F9" s="41">
        <v>0</v>
      </c>
      <c r="G9" s="93">
        <f t="shared" si="0"/>
        <v>0</v>
      </c>
      <c r="H9" s="10" t="str">
        <f ca="1">IF(OR(A9="",B9=""),"",IF(EOMONTH(DATE(A9,MATCH(B9,{"Januar","Februar","März","April","Mai","Juni","Juli","August","September","Oktober","November","Dezember"},0),1),0)&lt;=TODAY()-Steuerung!$C$27,"Reif","Frisch"))</f>
        <v>Reif</v>
      </c>
    </row>
    <row r="10" spans="1:8" ht="15" hidden="1" customHeight="1" x14ac:dyDescent="0.25">
      <c r="A10" s="37">
        <v>2025</v>
      </c>
      <c r="B10" s="37" t="s">
        <v>368</v>
      </c>
      <c r="C10" s="37" t="s">
        <v>104</v>
      </c>
      <c r="D10" s="90">
        <v>9</v>
      </c>
      <c r="E10" s="90">
        <v>0</v>
      </c>
      <c r="F10" s="37">
        <v>0</v>
      </c>
      <c r="G10" s="91">
        <f t="shared" si="0"/>
        <v>0</v>
      </c>
      <c r="H10" s="14" t="str">
        <f ca="1">IF(OR(A10="",B10=""),"",IF(EOMONTH(DATE(A10,MATCH(B10,{"Januar","Februar","März","April","Mai","Juni","Juli","August","September","Oktober","November","Dezember"},0),1),0)&lt;=TODAY()-Steuerung!$C$27,"Reif","Frisch"))</f>
        <v>Reif</v>
      </c>
    </row>
    <row r="11" spans="1:8" ht="15" hidden="1" customHeight="1" x14ac:dyDescent="0.25">
      <c r="A11" s="41">
        <v>2026</v>
      </c>
      <c r="B11" s="41" t="s">
        <v>72</v>
      </c>
      <c r="C11" s="41" t="s">
        <v>81</v>
      </c>
      <c r="D11" s="92">
        <v>146</v>
      </c>
      <c r="E11" s="92">
        <v>13</v>
      </c>
      <c r="F11" s="41">
        <v>0</v>
      </c>
      <c r="G11" s="93">
        <f t="shared" si="0"/>
        <v>8.9041095890410954E-2</v>
      </c>
      <c r="H11" s="10" t="str">
        <f ca="1">IF(OR(A11="",B11=""),"",IF(EOMONTH(DATE(A11,MATCH(B11,{"Januar","Februar","März","April","Mai","Juni","Juli","August","September","Oktober","November","Dezember"},0),1),0)&lt;=TODAY()-Steuerung!$C$27,"Reif","Frisch"))</f>
        <v>Reif</v>
      </c>
    </row>
    <row r="12" spans="1:8" ht="15" hidden="1" customHeight="1" x14ac:dyDescent="0.25">
      <c r="A12" s="37">
        <v>2026</v>
      </c>
      <c r="B12" s="37" t="s">
        <v>72</v>
      </c>
      <c r="C12" s="37" t="s">
        <v>104</v>
      </c>
      <c r="D12" s="90">
        <v>169</v>
      </c>
      <c r="E12" s="90">
        <v>6</v>
      </c>
      <c r="F12" s="37">
        <v>0</v>
      </c>
      <c r="G12" s="91">
        <f t="shared" si="0"/>
        <v>3.5502958579881658E-2</v>
      </c>
      <c r="H12" s="14" t="str">
        <f ca="1">IF(OR(A12="",B12=""),"",IF(EOMONTH(DATE(A12,MATCH(B12,{"Januar","Februar","März","April","Mai","Juni","Juli","August","September","Oktober","November","Dezember"},0),1),0)&lt;=TODAY()-Steuerung!$C$27,"Reif","Frisch"))</f>
        <v>Reif</v>
      </c>
    </row>
    <row r="13" spans="1:8" ht="15" hidden="1" customHeight="1" x14ac:dyDescent="0.25">
      <c r="A13" s="41">
        <v>2026</v>
      </c>
      <c r="B13" s="41" t="s">
        <v>72</v>
      </c>
      <c r="C13" s="41" t="s">
        <v>73</v>
      </c>
      <c r="D13" s="92">
        <v>9</v>
      </c>
      <c r="E13" s="92">
        <v>2</v>
      </c>
      <c r="F13" s="41">
        <v>0</v>
      </c>
      <c r="G13" s="93">
        <f t="shared" si="0"/>
        <v>0.22222222222222221</v>
      </c>
      <c r="H13" s="10" t="str">
        <f ca="1">IF(OR(A13="",B13=""),"",IF(EOMONTH(DATE(A13,MATCH(B13,{"Januar","Februar","März","April","Mai","Juni","Juli","August","September","Oktober","November","Dezember"},0),1),0)&lt;=TODAY()-Steuerung!$C$27,"Reif","Frisch"))</f>
        <v>Reif</v>
      </c>
    </row>
    <row r="14" spans="1:8" ht="15" customHeight="1" x14ac:dyDescent="0.25">
      <c r="A14" s="37">
        <v>2026</v>
      </c>
      <c r="B14" s="37" t="s">
        <v>72</v>
      </c>
      <c r="C14" s="37" t="s">
        <v>85</v>
      </c>
      <c r="D14" s="90">
        <v>0</v>
      </c>
      <c r="E14" s="90">
        <v>0</v>
      </c>
      <c r="F14" s="37">
        <v>0</v>
      </c>
      <c r="G14" s="91" t="str">
        <f t="shared" si="0"/>
        <v>-</v>
      </c>
      <c r="H14" s="14" t="str">
        <f ca="1">IF(OR(A14="",B14=""),"",IF(EOMONTH(DATE(A14,MATCH(B14,{"Januar","Februar","März","April","Mai","Juni","Juli","August","September","Oktober","November","Dezember"},0),1),0)&lt;=TODAY()-Steuerung!$C$27,"Reif","Frisch"))</f>
        <v>Reif</v>
      </c>
    </row>
    <row r="15" spans="1:8" ht="15" hidden="1" customHeight="1" x14ac:dyDescent="0.25">
      <c r="A15" s="41">
        <v>2026</v>
      </c>
      <c r="B15" s="41" t="s">
        <v>72</v>
      </c>
      <c r="C15" s="41" t="s">
        <v>134</v>
      </c>
      <c r="D15" s="92">
        <v>257</v>
      </c>
      <c r="E15" s="92">
        <v>0</v>
      </c>
      <c r="F15" s="41">
        <v>0</v>
      </c>
      <c r="G15" s="93">
        <f t="shared" si="0"/>
        <v>0</v>
      </c>
      <c r="H15" s="10" t="str">
        <f ca="1">IF(OR(A15="",B15=""),"",IF(EOMONTH(DATE(A15,MATCH(B15,{"Januar","Februar","März","April","Mai","Juni","Juli","August","September","Oktober","November","Dezember"},0),1),0)&lt;=TODAY()-Steuerung!$C$27,"Reif","Frisch"))</f>
        <v>Reif</v>
      </c>
    </row>
    <row r="16" spans="1:8" ht="15" hidden="1" customHeight="1" x14ac:dyDescent="0.25">
      <c r="A16" s="37">
        <v>2026</v>
      </c>
      <c r="B16" s="37" t="s">
        <v>119</v>
      </c>
      <c r="C16" s="37" t="s">
        <v>81</v>
      </c>
      <c r="D16" s="90">
        <v>8</v>
      </c>
      <c r="E16" s="90">
        <v>4</v>
      </c>
      <c r="F16" s="37">
        <v>0</v>
      </c>
      <c r="G16" s="91">
        <f t="shared" si="0"/>
        <v>0.5</v>
      </c>
      <c r="H16" s="14" t="str">
        <f ca="1">IF(OR(A16="",B16=""),"",IF(EOMONTH(DATE(A16,MATCH(B16,{"Januar","Februar","März","April","Mai","Juni","Juli","August","September","Oktober","November","Dezember"},0),1),0)&lt;=TODAY()-Steuerung!$C$27,"Reif","Frisch"))</f>
        <v>Reif</v>
      </c>
    </row>
    <row r="17" spans="1:8" ht="15" hidden="1" customHeight="1" x14ac:dyDescent="0.25">
      <c r="A17" s="41">
        <v>2026</v>
      </c>
      <c r="B17" s="41" t="s">
        <v>119</v>
      </c>
      <c r="C17" s="41" t="s">
        <v>104</v>
      </c>
      <c r="D17" s="92">
        <v>20</v>
      </c>
      <c r="E17" s="92">
        <v>0</v>
      </c>
      <c r="F17" s="41">
        <v>0</v>
      </c>
      <c r="G17" s="93">
        <f t="shared" si="0"/>
        <v>0</v>
      </c>
      <c r="H17" s="10" t="str">
        <f ca="1">IF(OR(A17="",B17=""),"",IF(EOMONTH(DATE(A17,MATCH(B17,{"Januar","Februar","März","April","Mai","Juni","Juli","August","September","Oktober","November","Dezember"},0),1),0)&lt;=TODAY()-Steuerung!$C$27,"Reif","Frisch"))</f>
        <v>Reif</v>
      </c>
    </row>
    <row r="18" spans="1:8" ht="15" hidden="1" customHeight="1" x14ac:dyDescent="0.25">
      <c r="A18" s="37">
        <v>2026</v>
      </c>
      <c r="B18" s="37" t="s">
        <v>119</v>
      </c>
      <c r="C18" s="37" t="s">
        <v>73</v>
      </c>
      <c r="D18" s="90">
        <v>10</v>
      </c>
      <c r="E18" s="90">
        <v>0</v>
      </c>
      <c r="F18" s="37">
        <v>0</v>
      </c>
      <c r="G18" s="91">
        <f t="shared" si="0"/>
        <v>0</v>
      </c>
      <c r="H18" s="14" t="str">
        <f ca="1">IF(OR(A18="",B18=""),"",IF(EOMONTH(DATE(A18,MATCH(B18,{"Januar","Februar","März","April","Mai","Juni","Juli","August","September","Oktober","November","Dezember"},0),1),0)&lt;=TODAY()-Steuerung!$C$27,"Reif","Frisch"))</f>
        <v>Reif</v>
      </c>
    </row>
    <row r="19" spans="1:8" ht="15" customHeight="1" x14ac:dyDescent="0.25">
      <c r="A19" s="41">
        <v>2026</v>
      </c>
      <c r="B19" s="41" t="s">
        <v>119</v>
      </c>
      <c r="C19" s="41" t="s">
        <v>85</v>
      </c>
      <c r="D19" s="92">
        <v>21</v>
      </c>
      <c r="E19" s="92">
        <v>2</v>
      </c>
      <c r="F19" s="41">
        <v>0</v>
      </c>
      <c r="G19" s="93">
        <f t="shared" si="0"/>
        <v>9.5238095238095233E-2</v>
      </c>
      <c r="H19" s="10" t="str">
        <f ca="1">IF(OR(A19="",B19=""),"",IF(EOMONTH(DATE(A19,MATCH(B19,{"Januar","Februar","März","April","Mai","Juni","Juli","August","September","Oktober","November","Dezember"},0),1),0)&lt;=TODAY()-Steuerung!$C$27,"Reif","Frisch"))</f>
        <v>Reif</v>
      </c>
    </row>
    <row r="20" spans="1:8" ht="15" hidden="1" customHeight="1" x14ac:dyDescent="0.25">
      <c r="A20" s="37">
        <v>2026</v>
      </c>
      <c r="B20" s="37" t="s">
        <v>119</v>
      </c>
      <c r="C20" s="37" t="s">
        <v>134</v>
      </c>
      <c r="D20" s="90">
        <v>0</v>
      </c>
      <c r="E20" s="90">
        <v>0</v>
      </c>
      <c r="F20" s="37">
        <v>0</v>
      </c>
      <c r="G20" s="91" t="str">
        <f t="shared" si="0"/>
        <v>-</v>
      </c>
      <c r="H20" s="14" t="str">
        <f ca="1">IF(OR(A20="",B20=""),"",IF(EOMONTH(DATE(A20,MATCH(B20,{"Januar","Februar","März","April","Mai","Juni","Juli","August","September","Oktober","November","Dezember"},0),1),0)&lt;=TODAY()-Steuerung!$C$27,"Reif","Frisch"))</f>
        <v>Reif</v>
      </c>
    </row>
    <row r="21" spans="1:8" ht="15" hidden="1" customHeight="1" x14ac:dyDescent="0.25">
      <c r="A21" s="41">
        <v>2026</v>
      </c>
      <c r="B21" s="41" t="s">
        <v>167</v>
      </c>
      <c r="C21" s="41" t="s">
        <v>81</v>
      </c>
      <c r="D21" s="92">
        <v>56</v>
      </c>
      <c r="E21" s="92">
        <v>4</v>
      </c>
      <c r="F21" s="41">
        <v>0</v>
      </c>
      <c r="G21" s="93">
        <f t="shared" si="0"/>
        <v>7.1428571428571425E-2</v>
      </c>
      <c r="H21" s="10" t="str">
        <f ca="1">IF(OR(A21="",B21=""),"",IF(EOMONTH(DATE(A21,MATCH(B21,{"Januar","Februar","März","April","Mai","Juni","Juli","August","September","Oktober","November","Dezember"},0),1),0)&lt;=TODAY()-Steuerung!$C$27,"Reif","Frisch"))</f>
        <v>Reif</v>
      </c>
    </row>
    <row r="22" spans="1:8" ht="15" hidden="1" customHeight="1" x14ac:dyDescent="0.25">
      <c r="A22" s="37">
        <v>2026</v>
      </c>
      <c r="B22" s="37" t="s">
        <v>167</v>
      </c>
      <c r="C22" s="37" t="s">
        <v>104</v>
      </c>
      <c r="D22" s="90">
        <v>102</v>
      </c>
      <c r="E22" s="90">
        <v>2</v>
      </c>
      <c r="F22" s="37">
        <v>0</v>
      </c>
      <c r="G22" s="91">
        <f t="shared" si="0"/>
        <v>1.9607843137254902E-2</v>
      </c>
      <c r="H22" s="14" t="str">
        <f ca="1">IF(OR(A22="",B22=""),"",IF(EOMONTH(DATE(A22,MATCH(B22,{"Januar","Februar","März","April","Mai","Juni","Juli","August","September","Oktober","November","Dezember"},0),1),0)&lt;=TODAY()-Steuerung!$C$27,"Reif","Frisch"))</f>
        <v>Reif</v>
      </c>
    </row>
    <row r="23" spans="1:8" ht="15" customHeight="1" x14ac:dyDescent="0.25">
      <c r="A23" s="41">
        <v>2026</v>
      </c>
      <c r="B23" s="41" t="s">
        <v>167</v>
      </c>
      <c r="C23" s="41" t="s">
        <v>85</v>
      </c>
      <c r="D23" s="92">
        <v>69</v>
      </c>
      <c r="E23" s="92">
        <v>3</v>
      </c>
      <c r="F23" s="41">
        <v>0</v>
      </c>
      <c r="G23" s="93">
        <f t="shared" si="0"/>
        <v>4.3478260869565216E-2</v>
      </c>
      <c r="H23" s="10" t="str">
        <f ca="1">IF(OR(A23="",B23=""),"",IF(EOMONTH(DATE(A23,MATCH(B23,{"Januar","Februar","März","April","Mai","Juni","Juli","August","September","Oktober","November","Dezember"},0),1),0)&lt;=TODAY()-Steuerung!$C$27,"Reif","Frisch"))</f>
        <v>Reif</v>
      </c>
    </row>
    <row r="24" spans="1:8" ht="15" hidden="1" customHeight="1" x14ac:dyDescent="0.25">
      <c r="A24" s="37">
        <v>2026</v>
      </c>
      <c r="B24" s="37" t="s">
        <v>167</v>
      </c>
      <c r="C24" s="37" t="s">
        <v>73</v>
      </c>
      <c r="D24" s="90">
        <v>14</v>
      </c>
      <c r="E24" s="90">
        <v>1</v>
      </c>
      <c r="F24" s="37">
        <v>0</v>
      </c>
      <c r="G24" s="91">
        <f t="shared" si="0"/>
        <v>7.1428571428571425E-2</v>
      </c>
      <c r="H24" s="14" t="str">
        <f ca="1">IF(OR(A24="",B24=""),"",IF(EOMONTH(DATE(A24,MATCH(B24,{"Januar","Februar","März","April","Mai","Juni","Juli","August","September","Oktober","November","Dezember"},0),1),0)&lt;=TODAY()-Steuerung!$C$27,"Reif","Frisch"))</f>
        <v>Reif</v>
      </c>
    </row>
    <row r="25" spans="1:8" ht="15" hidden="1" customHeight="1" x14ac:dyDescent="0.25">
      <c r="A25" s="41">
        <v>2026</v>
      </c>
      <c r="B25" s="41" t="s">
        <v>167</v>
      </c>
      <c r="C25" s="41" t="s">
        <v>116</v>
      </c>
      <c r="D25" s="92">
        <v>4</v>
      </c>
      <c r="E25" s="92">
        <v>0</v>
      </c>
      <c r="F25" s="41">
        <v>0</v>
      </c>
      <c r="G25" s="93">
        <f t="shared" si="0"/>
        <v>0</v>
      </c>
      <c r="H25" s="10" t="str">
        <f ca="1">IF(OR(A25="",B25=""),"",IF(EOMONTH(DATE(A25,MATCH(B25,{"Januar","Februar","März","April","Mai","Juni","Juli","August","September","Oktober","November","Dezember"},0),1),0)&lt;=TODAY()-Steuerung!$C$27,"Reif","Frisch"))</f>
        <v>Reif</v>
      </c>
    </row>
    <row r="26" spans="1:8" ht="15" hidden="1" customHeight="1" x14ac:dyDescent="0.25">
      <c r="A26" s="37">
        <v>2026</v>
      </c>
      <c r="B26" s="37" t="s">
        <v>205</v>
      </c>
      <c r="C26" s="37" t="s">
        <v>116</v>
      </c>
      <c r="D26" s="37">
        <v>14</v>
      </c>
      <c r="E26" s="37">
        <v>0</v>
      </c>
      <c r="F26" s="37">
        <v>0</v>
      </c>
      <c r="G26" s="91">
        <f t="shared" si="0"/>
        <v>0</v>
      </c>
      <c r="H26" s="14" t="str">
        <f ca="1">IF(OR(A26="",B26=""),"",IF(EOMONTH(DATE(A26,MATCH(B26,{"Januar","Februar","März","April","Mai","Juni","Juli","August","September","Oktober","November","Dezember"},0),1),0)&lt;=TODAY()-Steuerung!$C$27,"Reif","Frisch"))</f>
        <v>Frisch</v>
      </c>
    </row>
    <row r="27" spans="1:8" ht="15" hidden="1" customHeight="1" x14ac:dyDescent="0.25">
      <c r="A27" s="41">
        <v>2026</v>
      </c>
      <c r="B27" s="41" t="s">
        <v>205</v>
      </c>
      <c r="C27" s="41" t="s">
        <v>81</v>
      </c>
      <c r="D27" s="41">
        <v>2</v>
      </c>
      <c r="E27" s="41">
        <v>0</v>
      </c>
      <c r="F27" s="41">
        <v>0</v>
      </c>
      <c r="G27" s="93">
        <f t="shared" si="0"/>
        <v>0</v>
      </c>
      <c r="H27" s="10" t="str">
        <f ca="1">IF(OR(A27="",B27=""),"",IF(EOMONTH(DATE(A27,MATCH(B27,{"Januar","Februar","März","April","Mai","Juni","Juli","August","September","Oktober","November","Dezember"},0),1),0)&lt;=TODAY()-Steuerung!$C$27,"Reif","Frisch"))</f>
        <v>Frisch</v>
      </c>
    </row>
    <row r="28" spans="1:8" ht="15" hidden="1" customHeight="1" x14ac:dyDescent="0.25">
      <c r="A28" s="37">
        <v>2026</v>
      </c>
      <c r="B28" s="37" t="s">
        <v>242</v>
      </c>
      <c r="C28" s="37" t="s">
        <v>73</v>
      </c>
      <c r="D28" s="37">
        <v>3</v>
      </c>
      <c r="E28" s="37">
        <v>0</v>
      </c>
      <c r="F28" s="37">
        <v>0</v>
      </c>
      <c r="G28" s="91">
        <f t="shared" si="0"/>
        <v>0</v>
      </c>
      <c r="H28" s="14" t="str">
        <f ca="1">IF(OR(A28="",B28=""),"",IF(EOMONTH(DATE(A28,MATCH(B28,{"Januar","Februar","März","April","Mai","Juni","Juli","August","September","Oktober","November","Dezember"},0),1),0)&lt;=TODAY()-Steuerung!$C$27,"Reif","Frisch"))</f>
        <v>Frisch</v>
      </c>
    </row>
    <row r="29" spans="1:8" ht="15" hidden="1" customHeight="1" x14ac:dyDescent="0.25">
      <c r="A29" s="41">
        <v>2026</v>
      </c>
      <c r="B29" s="41" t="s">
        <v>242</v>
      </c>
      <c r="C29" s="41" t="s">
        <v>81</v>
      </c>
      <c r="D29" s="41">
        <v>147</v>
      </c>
      <c r="E29" s="41">
        <v>13</v>
      </c>
      <c r="F29" s="41">
        <v>0</v>
      </c>
      <c r="G29" s="93">
        <f t="shared" si="0"/>
        <v>8.8435374149659865E-2</v>
      </c>
      <c r="H29" s="10" t="str">
        <f ca="1">IF(OR(A29="",B29=""),"",IF(EOMONTH(DATE(A29,MATCH(B29,{"Januar","Februar","März","April","Mai","Juni","Juli","August","September","Oktober","November","Dezember"},0),1),0)&lt;=TODAY()-Steuerung!$C$27,"Reif","Frisch"))</f>
        <v>Frisch</v>
      </c>
    </row>
    <row r="30" spans="1:8" ht="15" hidden="1" customHeight="1" x14ac:dyDescent="0.25">
      <c r="A30" s="37">
        <v>2026</v>
      </c>
      <c r="B30" s="37" t="s">
        <v>242</v>
      </c>
      <c r="C30" s="37" t="s">
        <v>300</v>
      </c>
      <c r="D30" s="37">
        <v>66</v>
      </c>
      <c r="E30" s="37">
        <v>14</v>
      </c>
      <c r="F30" s="37">
        <v>0</v>
      </c>
      <c r="G30" s="91">
        <f t="shared" si="0"/>
        <v>0.21212121212121213</v>
      </c>
      <c r="H30" s="14" t="str">
        <f ca="1">IF(OR(A30="",B30=""),"",IF(EOMONTH(DATE(A30,MATCH(B30,{"Januar","Februar","März","April","Mai","Juni","Juli","August","September","Oktober","November","Dezember"},0),1),0)&lt;=TODAY()-Steuerung!$C$27,"Reif","Frisch"))</f>
        <v>Frisch</v>
      </c>
    </row>
    <row r="31" spans="1:8" ht="15" customHeight="1" x14ac:dyDescent="0.25">
      <c r="A31" s="41">
        <v>2026</v>
      </c>
      <c r="B31" s="41" t="s">
        <v>242</v>
      </c>
      <c r="C31" s="41" t="s">
        <v>85</v>
      </c>
      <c r="D31" s="41">
        <v>19</v>
      </c>
      <c r="E31" s="41">
        <v>2</v>
      </c>
      <c r="F31" s="41">
        <v>0</v>
      </c>
      <c r="G31" s="93">
        <f t="shared" si="0"/>
        <v>0.10526315789473684</v>
      </c>
      <c r="H31" s="10" t="str">
        <f ca="1">IF(OR(A31="",B31=""),"",IF(EOMONTH(DATE(A31,MATCH(B31,{"Januar","Februar","März","April","Mai","Juni","Juli","August","September","Oktober","November","Dezember"},0),1),0)&lt;=TODAY()-Steuerung!$C$27,"Reif","Frisch"))</f>
        <v>Frisch</v>
      </c>
    </row>
    <row r="32" spans="1:8" ht="15" hidden="1" customHeight="1" x14ac:dyDescent="0.25">
      <c r="A32" s="37">
        <v>2026</v>
      </c>
      <c r="B32" s="37" t="s">
        <v>265</v>
      </c>
      <c r="C32" s="37" t="s">
        <v>300</v>
      </c>
      <c r="D32" s="37">
        <v>59</v>
      </c>
      <c r="E32" s="37">
        <v>21</v>
      </c>
      <c r="F32" s="37">
        <v>0</v>
      </c>
      <c r="G32" s="91">
        <f t="shared" si="0"/>
        <v>0.3559322033898305</v>
      </c>
      <c r="H32" s="14" t="str">
        <f ca="1">IF(OR(A32="",B32=""),"",IF(EOMONTH(DATE(A32,MATCH(B32,{"Januar","Februar","März","April","Mai","Juni","Juli","August","September","Oktober","November","Dezember"},0),1),0)&lt;=TODAY()-Steuerung!$C$27,"Reif","Frisch"))</f>
        <v>Frisch</v>
      </c>
    </row>
    <row r="33" spans="1:8" ht="15" hidden="1" customHeight="1" x14ac:dyDescent="0.25">
      <c r="A33" s="41">
        <v>2026</v>
      </c>
      <c r="B33" s="41" t="s">
        <v>265</v>
      </c>
      <c r="C33" s="41" t="s">
        <v>81</v>
      </c>
      <c r="D33" s="41">
        <v>29</v>
      </c>
      <c r="E33" s="41">
        <v>15</v>
      </c>
      <c r="F33" s="41">
        <v>0</v>
      </c>
      <c r="G33" s="93">
        <f t="shared" si="0"/>
        <v>0.51724137931034486</v>
      </c>
      <c r="H33" s="10" t="str">
        <f ca="1">IF(OR(A33="",B33=""),"",IF(EOMONTH(DATE(A33,MATCH(B33,{"Januar","Februar","März","April","Mai","Juni","Juli","August","September","Oktober","November","Dezember"},0),1),0)&lt;=TODAY()-Steuerung!$C$27,"Reif","Frisch"))</f>
        <v>Frisch</v>
      </c>
    </row>
    <row r="34" spans="1:8" ht="15" customHeight="1" x14ac:dyDescent="0.25">
      <c r="A34" s="37">
        <v>2026</v>
      </c>
      <c r="B34" s="37" t="s">
        <v>265</v>
      </c>
      <c r="C34" s="37" t="s">
        <v>85</v>
      </c>
      <c r="D34" s="37">
        <v>11</v>
      </c>
      <c r="E34" s="37">
        <v>1</v>
      </c>
      <c r="F34" s="37"/>
      <c r="G34" s="91">
        <f t="shared" si="0"/>
        <v>9.0909090909090912E-2</v>
      </c>
      <c r="H34" s="14" t="str">
        <f ca="1">IF(OR(A34="",B34=""),"",IF(EOMONTH(DATE(A34,MATCH(B34,{"Januar","Februar","März","April","Mai","Juni","Juli","August","September","Oktober","November","Dezember"},0),1),0)&lt;=TODAY()-Steuerung!$C$27,"Reif","Frisch"))</f>
        <v>Frisch</v>
      </c>
    </row>
    <row r="35" spans="1:8" ht="15" hidden="1" customHeight="1" x14ac:dyDescent="0.25">
      <c r="A35" s="41"/>
      <c r="B35" s="41"/>
      <c r="C35" s="41"/>
      <c r="D35" s="41"/>
      <c r="E35" s="41"/>
      <c r="F35" s="41"/>
      <c r="G35" s="93" t="str">
        <f t="shared" si="0"/>
        <v>-</v>
      </c>
      <c r="H35" s="10" t="str">
        <f ca="1">IF(OR(A35="",B35=""),"",IF(EOMONTH(DATE(A35,MATCH(B35,{"Januar","Februar","März","April","Mai","Juni","Juli","August","September","Oktober","November","Dezember"},0),1),0)&lt;=TODAY()-Steuerung!$C$27,"Reif","Frisch"))</f>
        <v/>
      </c>
    </row>
    <row r="36" spans="1:8" ht="15" hidden="1" customHeight="1" x14ac:dyDescent="0.25">
      <c r="A36" s="37"/>
      <c r="B36" s="37"/>
      <c r="C36" s="37"/>
      <c r="D36" s="37"/>
      <c r="E36" s="37"/>
      <c r="F36" s="37"/>
      <c r="G36" s="91" t="str">
        <f t="shared" si="0"/>
        <v>-</v>
      </c>
      <c r="H36" s="14" t="str">
        <f ca="1">IF(OR(A36="",B36=""),"",IF(EOMONTH(DATE(A36,MATCH(B36,{"Januar","Februar","März","April","Mai","Juni","Juli","August","September","Oktober","November","Dezember"},0),1),0)&lt;=TODAY()-Steuerung!$C$27,"Reif","Frisch"))</f>
        <v/>
      </c>
    </row>
    <row r="37" spans="1:8" ht="15" hidden="1" customHeight="1" x14ac:dyDescent="0.25">
      <c r="A37" s="41"/>
      <c r="B37" s="41"/>
      <c r="C37" s="41"/>
      <c r="D37" s="41"/>
      <c r="E37" s="41"/>
      <c r="F37" s="41"/>
      <c r="G37" s="93" t="str">
        <f t="shared" si="0"/>
        <v>-</v>
      </c>
      <c r="H37" s="10" t="str">
        <f ca="1">IF(OR(A37="",B37=""),"",IF(EOMONTH(DATE(A37,MATCH(B37,{"Januar","Februar","März","April","Mai","Juni","Juli","August","September","Oktober","November","Dezember"},0),1),0)&lt;=TODAY()-Steuerung!$C$27,"Reif","Frisch"))</f>
        <v/>
      </c>
    </row>
    <row r="38" spans="1:8" ht="15" hidden="1" customHeight="1" x14ac:dyDescent="0.25">
      <c r="A38" s="37"/>
      <c r="B38" s="37"/>
      <c r="C38" s="37"/>
      <c r="D38" s="37"/>
      <c r="E38" s="37"/>
      <c r="F38" s="37"/>
      <c r="G38" s="91" t="str">
        <f t="shared" si="0"/>
        <v>-</v>
      </c>
      <c r="H38" s="14" t="str">
        <f ca="1">IF(OR(A38="",B38=""),"",IF(EOMONTH(DATE(A38,MATCH(B38,{"Januar","Februar","März","April","Mai","Juni","Juli","August","September","Oktober","November","Dezember"},0),1),0)&lt;=TODAY()-Steuerung!$C$27,"Reif","Frisch"))</f>
        <v/>
      </c>
    </row>
    <row r="39" spans="1:8" ht="15" hidden="1" customHeight="1" x14ac:dyDescent="0.25">
      <c r="A39" s="41"/>
      <c r="B39" s="41"/>
      <c r="C39" s="41"/>
      <c r="D39" s="41"/>
      <c r="E39" s="41"/>
      <c r="F39" s="41"/>
      <c r="G39" s="93" t="str">
        <f t="shared" si="0"/>
        <v>-</v>
      </c>
      <c r="H39" s="10" t="str">
        <f ca="1">IF(OR(A39="",B39=""),"",IF(EOMONTH(DATE(A39,MATCH(B39,{"Januar","Februar","März","April","Mai","Juni","Juli","August","September","Oktober","November","Dezember"},0),1),0)&lt;=TODAY()-Steuerung!$C$27,"Reif","Frisch"))</f>
        <v/>
      </c>
    </row>
    <row r="40" spans="1:8" ht="15" hidden="1" customHeight="1" x14ac:dyDescent="0.25">
      <c r="A40" s="37"/>
      <c r="B40" s="37"/>
      <c r="C40" s="37"/>
      <c r="D40" s="37"/>
      <c r="E40" s="37"/>
      <c r="F40" s="37"/>
      <c r="G40" s="91" t="str">
        <f t="shared" si="0"/>
        <v>-</v>
      </c>
      <c r="H40" s="14" t="str">
        <f ca="1">IF(OR(A40="",B40=""),"",IF(EOMONTH(DATE(A40,MATCH(B40,{"Januar","Februar","März","April","Mai","Juni","Juli","August","September","Oktober","November","Dezember"},0),1),0)&lt;=TODAY()-Steuerung!$C$27,"Reif","Frisch"))</f>
        <v/>
      </c>
    </row>
    <row r="41" spans="1:8" ht="15" hidden="1" customHeight="1" x14ac:dyDescent="0.25">
      <c r="A41" s="41"/>
      <c r="B41" s="41"/>
      <c r="C41" s="41"/>
      <c r="D41" s="41"/>
      <c r="E41" s="41"/>
      <c r="F41" s="41"/>
      <c r="G41" s="93" t="str">
        <f t="shared" si="0"/>
        <v>-</v>
      </c>
      <c r="H41" s="10" t="str">
        <f ca="1">IF(OR(A41="",B41=""),"",IF(EOMONTH(DATE(A41,MATCH(B41,{"Januar","Februar","März","April","Mai","Juni","Juli","August","September","Oktober","November","Dezember"},0),1),0)&lt;=TODAY()-Steuerung!$C$27,"Reif","Frisch"))</f>
        <v/>
      </c>
    </row>
    <row r="42" spans="1:8" ht="15" hidden="1" customHeight="1" x14ac:dyDescent="0.25">
      <c r="A42" s="37"/>
      <c r="B42" s="37"/>
      <c r="C42" s="37"/>
      <c r="D42" s="37"/>
      <c r="E42" s="37"/>
      <c r="F42" s="37"/>
      <c r="G42" s="91" t="str">
        <f t="shared" si="0"/>
        <v>-</v>
      </c>
      <c r="H42" s="14" t="str">
        <f ca="1">IF(OR(A42="",B42=""),"",IF(EOMONTH(DATE(A42,MATCH(B42,{"Januar","Februar","März","April","Mai","Juni","Juli","August","September","Oktober","November","Dezember"},0),1),0)&lt;=TODAY()-Steuerung!$C$27,"Reif","Frisch"))</f>
        <v/>
      </c>
    </row>
    <row r="43" spans="1:8" ht="15" hidden="1" customHeight="1" x14ac:dyDescent="0.25">
      <c r="A43" s="41"/>
      <c r="B43" s="41"/>
      <c r="C43" s="41"/>
      <c r="D43" s="41"/>
      <c r="E43" s="41"/>
      <c r="F43" s="41"/>
      <c r="G43" s="93" t="str">
        <f t="shared" si="0"/>
        <v>-</v>
      </c>
      <c r="H43" s="10" t="str">
        <f ca="1">IF(OR(A43="",B43=""),"",IF(EOMONTH(DATE(A43,MATCH(B43,{"Januar","Februar","März","April","Mai","Juni","Juli","August","September","Oktober","November","Dezember"},0),1),0)&lt;=TODAY()-Steuerung!$C$27,"Reif","Frisch"))</f>
        <v/>
      </c>
    </row>
    <row r="44" spans="1:8" ht="15" hidden="1" customHeight="1" x14ac:dyDescent="0.25">
      <c r="A44" s="37"/>
      <c r="B44" s="37"/>
      <c r="C44" s="37"/>
      <c r="D44" s="37"/>
      <c r="E44" s="37"/>
      <c r="F44" s="37"/>
      <c r="G44" s="91" t="str">
        <f t="shared" si="0"/>
        <v>-</v>
      </c>
      <c r="H44" s="14" t="str">
        <f ca="1">IF(OR(A44="",B44=""),"",IF(EOMONTH(DATE(A44,MATCH(B44,{"Januar","Februar","März","April","Mai","Juni","Juli","August","September","Oktober","November","Dezember"},0),1),0)&lt;=TODAY()-Steuerung!$C$27,"Reif","Frisch"))</f>
        <v/>
      </c>
    </row>
    <row r="45" spans="1:8" ht="15" hidden="1" customHeight="1" x14ac:dyDescent="0.25">
      <c r="A45" s="41"/>
      <c r="B45" s="41"/>
      <c r="C45" s="41"/>
      <c r="D45" s="41"/>
      <c r="E45" s="41"/>
      <c r="F45" s="41"/>
      <c r="G45" s="93" t="str">
        <f t="shared" si="0"/>
        <v>-</v>
      </c>
      <c r="H45" s="10" t="str">
        <f ca="1">IF(OR(A45="",B45=""),"",IF(EOMONTH(DATE(A45,MATCH(B45,{"Januar","Februar","März","April","Mai","Juni","Juli","August","September","Oktober","November","Dezember"},0),1),0)&lt;=TODAY()-Steuerung!$C$27,"Reif","Frisch"))</f>
        <v/>
      </c>
    </row>
    <row r="46" spans="1:8" ht="15" hidden="1" customHeight="1" x14ac:dyDescent="0.25">
      <c r="A46" s="37"/>
      <c r="B46" s="37"/>
      <c r="C46" s="37"/>
      <c r="D46" s="37"/>
      <c r="E46" s="37"/>
      <c r="F46" s="37"/>
      <c r="G46" s="91" t="str">
        <f t="shared" si="0"/>
        <v>-</v>
      </c>
      <c r="H46" s="14" t="str">
        <f ca="1">IF(OR(A46="",B46=""),"",IF(EOMONTH(DATE(A46,MATCH(B46,{"Januar","Februar","März","April","Mai","Juni","Juli","August","September","Oktober","November","Dezember"},0),1),0)&lt;=TODAY()-Steuerung!$C$27,"Reif","Frisch"))</f>
        <v/>
      </c>
    </row>
    <row r="47" spans="1:8" ht="15" hidden="1" customHeight="1" x14ac:dyDescent="0.25">
      <c r="A47" s="41"/>
      <c r="B47" s="41"/>
      <c r="C47" s="41"/>
      <c r="D47" s="41"/>
      <c r="E47" s="41"/>
      <c r="F47" s="41"/>
      <c r="G47" s="93" t="str">
        <f t="shared" si="0"/>
        <v>-</v>
      </c>
      <c r="H47" s="10" t="str">
        <f ca="1">IF(OR(A47="",B47=""),"",IF(EOMONTH(DATE(A47,MATCH(B47,{"Januar","Februar","März","April","Mai","Juni","Juli","August","September","Oktober","November","Dezember"},0),1),0)&lt;=TODAY()-Steuerung!$C$27,"Reif","Frisch"))</f>
        <v/>
      </c>
    </row>
    <row r="48" spans="1:8" ht="15" hidden="1" customHeight="1" x14ac:dyDescent="0.25">
      <c r="A48" s="37"/>
      <c r="B48" s="37"/>
      <c r="C48" s="37"/>
      <c r="D48" s="37"/>
      <c r="E48" s="37"/>
      <c r="F48" s="37"/>
      <c r="G48" s="91" t="str">
        <f t="shared" si="0"/>
        <v>-</v>
      </c>
      <c r="H48" s="14" t="str">
        <f ca="1">IF(OR(A48="",B48=""),"",IF(EOMONTH(DATE(A48,MATCH(B48,{"Januar","Februar","März","April","Mai","Juni","Juli","August","September","Oktober","November","Dezember"},0),1),0)&lt;=TODAY()-Steuerung!$C$27,"Reif","Frisch"))</f>
        <v/>
      </c>
    </row>
    <row r="49" spans="1:8" ht="15" hidden="1" customHeight="1" x14ac:dyDescent="0.25">
      <c r="A49" s="41"/>
      <c r="B49" s="41"/>
      <c r="C49" s="41"/>
      <c r="D49" s="41"/>
      <c r="E49" s="41"/>
      <c r="F49" s="41"/>
      <c r="G49" s="93" t="str">
        <f t="shared" si="0"/>
        <v>-</v>
      </c>
      <c r="H49" s="10" t="str">
        <f ca="1">IF(OR(A49="",B49=""),"",IF(EOMONTH(DATE(A49,MATCH(B49,{"Januar","Februar","März","April","Mai","Juni","Juli","August","September","Oktober","November","Dezember"},0),1),0)&lt;=TODAY()-Steuerung!$C$27,"Reif","Frisch"))</f>
        <v/>
      </c>
    </row>
    <row r="50" spans="1:8" ht="15" hidden="1" customHeight="1" x14ac:dyDescent="0.25">
      <c r="A50" s="37"/>
      <c r="B50" s="37"/>
      <c r="C50" s="37"/>
      <c r="D50" s="37"/>
      <c r="E50" s="37"/>
      <c r="F50" s="37"/>
      <c r="G50" s="91" t="str">
        <f t="shared" si="0"/>
        <v>-</v>
      </c>
      <c r="H50" s="14" t="str">
        <f ca="1">IF(OR(A50="",B50=""),"",IF(EOMONTH(DATE(A50,MATCH(B50,{"Januar","Februar","März","April","Mai","Juni","Juli","August","September","Oktober","November","Dezember"},0),1),0)&lt;=TODAY()-Steuerung!$C$27,"Reif","Frisch"))</f>
        <v/>
      </c>
    </row>
    <row r="51" spans="1:8" ht="15" hidden="1" customHeight="1" x14ac:dyDescent="0.25">
      <c r="A51" s="41"/>
      <c r="B51" s="41"/>
      <c r="C51" s="41"/>
      <c r="D51" s="41"/>
      <c r="E51" s="41"/>
      <c r="F51" s="41"/>
      <c r="G51" s="93" t="str">
        <f t="shared" si="0"/>
        <v>-</v>
      </c>
      <c r="H51" s="10" t="str">
        <f ca="1">IF(OR(A51="",B51=""),"",IF(EOMONTH(DATE(A51,MATCH(B51,{"Januar","Februar","März","April","Mai","Juni","Juli","August","September","Oktober","November","Dezember"},0),1),0)&lt;=TODAY()-Steuerung!$C$27,"Reif","Frisch"))</f>
        <v/>
      </c>
    </row>
    <row r="52" spans="1:8" ht="15" hidden="1" customHeight="1" x14ac:dyDescent="0.25">
      <c r="A52" s="37"/>
      <c r="B52" s="37"/>
      <c r="C52" s="37"/>
      <c r="D52" s="37"/>
      <c r="E52" s="37"/>
      <c r="F52" s="37"/>
      <c r="G52" s="91" t="str">
        <f t="shared" si="0"/>
        <v>-</v>
      </c>
      <c r="H52" s="14" t="str">
        <f ca="1">IF(OR(A52="",B52=""),"",IF(EOMONTH(DATE(A52,MATCH(B52,{"Januar","Februar","März","April","Mai","Juni","Juli","August","September","Oktober","November","Dezember"},0),1),0)&lt;=TODAY()-Steuerung!$C$27,"Reif","Frisch"))</f>
        <v/>
      </c>
    </row>
    <row r="53" spans="1:8" ht="15" hidden="1" customHeight="1" x14ac:dyDescent="0.25">
      <c r="A53" s="41"/>
      <c r="B53" s="41"/>
      <c r="C53" s="41"/>
      <c r="D53" s="41"/>
      <c r="E53" s="41"/>
      <c r="F53" s="41"/>
      <c r="G53" s="93" t="str">
        <f t="shared" si="0"/>
        <v>-</v>
      </c>
      <c r="H53" s="10" t="str">
        <f ca="1">IF(OR(A53="",B53=""),"",IF(EOMONTH(DATE(A53,MATCH(B53,{"Januar","Februar","März","April","Mai","Juni","Juli","August","September","Oktober","November","Dezember"},0),1),0)&lt;=TODAY()-Steuerung!$C$27,"Reif","Frisch"))</f>
        <v/>
      </c>
    </row>
    <row r="54" spans="1:8" ht="15" hidden="1" customHeight="1" x14ac:dyDescent="0.25">
      <c r="A54" s="37"/>
      <c r="B54" s="37"/>
      <c r="C54" s="37"/>
      <c r="D54" s="37"/>
      <c r="E54" s="37"/>
      <c r="F54" s="37"/>
      <c r="G54" s="91" t="str">
        <f t="shared" si="0"/>
        <v>-</v>
      </c>
      <c r="H54" s="14" t="str">
        <f ca="1">IF(OR(A54="",B54=""),"",IF(EOMONTH(DATE(A54,MATCH(B54,{"Januar","Februar","März","April","Mai","Juni","Juli","August","September","Oktober","November","Dezember"},0),1),0)&lt;=TODAY()-Steuerung!$C$27,"Reif","Frisch"))</f>
        <v/>
      </c>
    </row>
    <row r="55" spans="1:8" ht="15" hidden="1" customHeight="1" x14ac:dyDescent="0.25">
      <c r="A55" s="41"/>
      <c r="B55" s="41"/>
      <c r="C55" s="41"/>
      <c r="D55" s="41"/>
      <c r="E55" s="41"/>
      <c r="F55" s="41"/>
      <c r="G55" s="93" t="str">
        <f t="shared" si="0"/>
        <v>-</v>
      </c>
      <c r="H55" s="10" t="str">
        <f ca="1">IF(OR(A55="",B55=""),"",IF(EOMONTH(DATE(A55,MATCH(B55,{"Januar","Februar","März","April","Mai","Juni","Juli","August","September","Oktober","November","Dezember"},0),1),0)&lt;=TODAY()-Steuerung!$C$27,"Reif","Frisch"))</f>
        <v/>
      </c>
    </row>
    <row r="56" spans="1:8" ht="15" hidden="1" customHeight="1" x14ac:dyDescent="0.25">
      <c r="A56" s="37"/>
      <c r="B56" s="37"/>
      <c r="C56" s="37"/>
      <c r="D56" s="37"/>
      <c r="E56" s="37"/>
      <c r="F56" s="37"/>
      <c r="G56" s="91" t="str">
        <f t="shared" si="0"/>
        <v>-</v>
      </c>
      <c r="H56" s="14" t="str">
        <f ca="1">IF(OR(A56="",B56=""),"",IF(EOMONTH(DATE(A56,MATCH(B56,{"Januar","Februar","März","April","Mai","Juni","Juli","August","September","Oktober","November","Dezember"},0),1),0)&lt;=TODAY()-Steuerung!$C$27,"Reif","Frisch"))</f>
        <v/>
      </c>
    </row>
    <row r="57" spans="1:8" ht="15" hidden="1" customHeight="1" x14ac:dyDescent="0.25">
      <c r="A57" s="41"/>
      <c r="B57" s="41"/>
      <c r="C57" s="41"/>
      <c r="D57" s="41"/>
      <c r="E57" s="41"/>
      <c r="F57" s="41"/>
      <c r="G57" s="93" t="str">
        <f t="shared" si="0"/>
        <v>-</v>
      </c>
      <c r="H57" s="10" t="str">
        <f ca="1">IF(OR(A57="",B57=""),"",IF(EOMONTH(DATE(A57,MATCH(B57,{"Januar","Februar","März","April","Mai","Juni","Juli","August","September","Oktober","November","Dezember"},0),1),0)&lt;=TODAY()-Steuerung!$C$27,"Reif","Frisch"))</f>
        <v/>
      </c>
    </row>
    <row r="58" spans="1:8" ht="15" hidden="1" customHeight="1" x14ac:dyDescent="0.25">
      <c r="A58" s="37"/>
      <c r="B58" s="37"/>
      <c r="C58" s="37"/>
      <c r="D58" s="37"/>
      <c r="E58" s="37"/>
      <c r="F58" s="37"/>
      <c r="G58" s="91" t="str">
        <f t="shared" si="0"/>
        <v>-</v>
      </c>
      <c r="H58" s="14" t="str">
        <f ca="1">IF(OR(A58="",B58=""),"",IF(EOMONTH(DATE(A58,MATCH(B58,{"Januar","Februar","März","April","Mai","Juni","Juli","August","September","Oktober","November","Dezember"},0),1),0)&lt;=TODAY()-Steuerung!$C$27,"Reif","Frisch"))</f>
        <v/>
      </c>
    </row>
    <row r="59" spans="1:8" ht="15" hidden="1" customHeight="1" x14ac:dyDescent="0.25">
      <c r="A59" s="41"/>
      <c r="B59" s="41"/>
      <c r="C59" s="41"/>
      <c r="D59" s="41"/>
      <c r="E59" s="41"/>
      <c r="F59" s="41"/>
      <c r="G59" s="93" t="str">
        <f t="shared" si="0"/>
        <v>-</v>
      </c>
      <c r="H59" s="10" t="str">
        <f ca="1">IF(OR(A59="",B59=""),"",IF(EOMONTH(DATE(A59,MATCH(B59,{"Januar","Februar","März","April","Mai","Juni","Juli","August","September","Oktober","November","Dezember"},0),1),0)&lt;=TODAY()-Steuerung!$C$27,"Reif","Frisch"))</f>
        <v/>
      </c>
    </row>
    <row r="60" spans="1:8" ht="15" hidden="1" customHeight="1" x14ac:dyDescent="0.25">
      <c r="A60" s="37"/>
      <c r="B60" s="37"/>
      <c r="C60" s="37"/>
      <c r="D60" s="37"/>
      <c r="E60" s="37"/>
      <c r="F60" s="37"/>
      <c r="G60" s="91" t="str">
        <f t="shared" si="0"/>
        <v>-</v>
      </c>
      <c r="H60" s="14" t="str">
        <f ca="1">IF(OR(A60="",B60=""),"",IF(EOMONTH(DATE(A60,MATCH(B60,{"Januar","Februar","März","April","Mai","Juni","Juli","August","September","Oktober","November","Dezember"},0),1),0)&lt;=TODAY()-Steuerung!$C$27,"Reif","Frisch"))</f>
        <v/>
      </c>
    </row>
    <row r="61" spans="1:8" ht="15" hidden="1" customHeight="1" x14ac:dyDescent="0.25">
      <c r="A61" s="41"/>
      <c r="B61" s="41"/>
      <c r="C61" s="41"/>
      <c r="D61" s="41"/>
      <c r="E61" s="41"/>
      <c r="F61" s="41"/>
      <c r="G61" s="93" t="str">
        <f t="shared" si="0"/>
        <v>-</v>
      </c>
      <c r="H61" s="10" t="str">
        <f ca="1">IF(OR(A61="",B61=""),"",IF(EOMONTH(DATE(A61,MATCH(B61,{"Januar","Februar","März","April","Mai","Juni","Juli","August","September","Oktober","November","Dezember"},0),1),0)&lt;=TODAY()-Steuerung!$C$27,"Reif","Frisch"))</f>
        <v/>
      </c>
    </row>
    <row r="62" spans="1:8" ht="15" hidden="1" customHeight="1" x14ac:dyDescent="0.25">
      <c r="A62" s="37"/>
      <c r="B62" s="37"/>
      <c r="C62" s="37"/>
      <c r="D62" s="37"/>
      <c r="E62" s="37"/>
      <c r="F62" s="37"/>
      <c r="G62" s="91" t="str">
        <f t="shared" si="0"/>
        <v>-</v>
      </c>
      <c r="H62" s="14" t="str">
        <f ca="1">IF(OR(A62="",B62=""),"",IF(EOMONTH(DATE(A62,MATCH(B62,{"Januar","Februar","März","April","Mai","Juni","Juli","August","September","Oktober","November","Dezember"},0),1),0)&lt;=TODAY()-Steuerung!$C$27,"Reif","Frisch"))</f>
        <v/>
      </c>
    </row>
    <row r="63" spans="1:8" ht="15" hidden="1" customHeight="1" x14ac:dyDescent="0.25">
      <c r="A63" s="41"/>
      <c r="B63" s="41"/>
      <c r="C63" s="41"/>
      <c r="D63" s="41"/>
      <c r="E63" s="41"/>
      <c r="F63" s="41"/>
      <c r="G63" s="93" t="str">
        <f t="shared" si="0"/>
        <v>-</v>
      </c>
      <c r="H63" s="10" t="str">
        <f ca="1">IF(OR(A63="",B63=""),"",IF(EOMONTH(DATE(A63,MATCH(B63,{"Januar","Februar","März","April","Mai","Juni","Juli","August","September","Oktober","November","Dezember"},0),1),0)&lt;=TODAY()-Steuerung!$C$27,"Reif","Frisch"))</f>
        <v/>
      </c>
    </row>
    <row r="64" spans="1:8" ht="15" hidden="1" customHeight="1" x14ac:dyDescent="0.25">
      <c r="A64" s="37"/>
      <c r="B64" s="37"/>
      <c r="C64" s="37"/>
      <c r="D64" s="37"/>
      <c r="E64" s="37"/>
      <c r="F64" s="37"/>
      <c r="G64" s="91" t="str">
        <f t="shared" si="0"/>
        <v>-</v>
      </c>
      <c r="H64" s="14" t="str">
        <f ca="1">IF(OR(A64="",B64=""),"",IF(EOMONTH(DATE(A64,MATCH(B64,{"Januar","Februar","März","April","Mai","Juni","Juli","August","September","Oktober","November","Dezember"},0),1),0)&lt;=TODAY()-Steuerung!$C$27,"Reif","Frisch"))</f>
        <v/>
      </c>
    </row>
    <row r="65" spans="1:8" ht="15" hidden="1" customHeight="1" x14ac:dyDescent="0.25">
      <c r="A65" s="41"/>
      <c r="B65" s="41"/>
      <c r="C65" s="41"/>
      <c r="D65" s="41"/>
      <c r="E65" s="41"/>
      <c r="F65" s="41"/>
      <c r="G65" s="93" t="str">
        <f t="shared" si="0"/>
        <v>-</v>
      </c>
      <c r="H65" s="10" t="str">
        <f ca="1">IF(OR(A65="",B65=""),"",IF(EOMONTH(DATE(A65,MATCH(B65,{"Januar","Februar","März","April","Mai","Juni","Juli","August","September","Oktober","November","Dezember"},0),1),0)&lt;=TODAY()-Steuerung!$C$27,"Reif","Frisch"))</f>
        <v/>
      </c>
    </row>
    <row r="66" spans="1:8" ht="15" hidden="1" customHeight="1" x14ac:dyDescent="0.25">
      <c r="A66" s="37"/>
      <c r="B66" s="37"/>
      <c r="C66" s="37"/>
      <c r="D66" s="37"/>
      <c r="E66" s="37"/>
      <c r="F66" s="37"/>
      <c r="G66" s="91" t="str">
        <f t="shared" si="0"/>
        <v>-</v>
      </c>
      <c r="H66" s="14" t="str">
        <f ca="1">IF(OR(A66="",B66=""),"",IF(EOMONTH(DATE(A66,MATCH(B66,{"Januar","Februar","März","April","Mai","Juni","Juli","August","September","Oktober","November","Dezember"},0),1),0)&lt;=TODAY()-Steuerung!$C$27,"Reif","Frisch"))</f>
        <v/>
      </c>
    </row>
    <row r="67" spans="1:8" ht="15" hidden="1" customHeight="1" x14ac:dyDescent="0.25">
      <c r="A67" s="41"/>
      <c r="B67" s="41"/>
      <c r="C67" s="41"/>
      <c r="D67" s="41"/>
      <c r="E67" s="41"/>
      <c r="F67" s="41"/>
      <c r="G67" s="93" t="str">
        <f t="shared" si="0"/>
        <v>-</v>
      </c>
      <c r="H67" s="10" t="str">
        <f ca="1">IF(OR(A67="",B67=""),"",IF(EOMONTH(DATE(A67,MATCH(B67,{"Januar","Februar","März","April","Mai","Juni","Juli","August","September","Oktober","November","Dezember"},0),1),0)&lt;=TODAY()-Steuerung!$C$27,"Reif","Frisch"))</f>
        <v/>
      </c>
    </row>
    <row r="68" spans="1:8" ht="15" hidden="1" customHeight="1" x14ac:dyDescent="0.25">
      <c r="A68" s="37"/>
      <c r="B68" s="37"/>
      <c r="C68" s="37"/>
      <c r="D68" s="37"/>
      <c r="E68" s="37"/>
      <c r="F68" s="37"/>
      <c r="G68" s="91" t="str">
        <f t="shared" ref="G68:G131" si="1">IF(D68=0,"-",E68/D68)</f>
        <v>-</v>
      </c>
      <c r="H68" s="14" t="str">
        <f ca="1">IF(OR(A68="",B68=""),"",IF(EOMONTH(DATE(A68,MATCH(B68,{"Januar","Februar","März","April","Mai","Juni","Juli","August","September","Oktober","November","Dezember"},0),1),0)&lt;=TODAY()-Steuerung!$C$27,"Reif","Frisch"))</f>
        <v/>
      </c>
    </row>
    <row r="69" spans="1:8" ht="15" hidden="1" customHeight="1" x14ac:dyDescent="0.25">
      <c r="A69" s="41"/>
      <c r="B69" s="41"/>
      <c r="C69" s="41"/>
      <c r="D69" s="41"/>
      <c r="E69" s="41"/>
      <c r="F69" s="41"/>
      <c r="G69" s="93" t="str">
        <f t="shared" si="1"/>
        <v>-</v>
      </c>
      <c r="H69" s="10" t="str">
        <f ca="1">IF(OR(A69="",B69=""),"",IF(EOMONTH(DATE(A69,MATCH(B69,{"Januar","Februar","März","April","Mai","Juni","Juli","August","September","Oktober","November","Dezember"},0),1),0)&lt;=TODAY()-Steuerung!$C$27,"Reif","Frisch"))</f>
        <v/>
      </c>
    </row>
    <row r="70" spans="1:8" ht="15" hidden="1" customHeight="1" x14ac:dyDescent="0.25">
      <c r="A70" s="37"/>
      <c r="B70" s="37"/>
      <c r="C70" s="37"/>
      <c r="D70" s="37"/>
      <c r="E70" s="37"/>
      <c r="F70" s="37"/>
      <c r="G70" s="91" t="str">
        <f t="shared" si="1"/>
        <v>-</v>
      </c>
      <c r="H70" s="14" t="str">
        <f ca="1">IF(OR(A70="",B70=""),"",IF(EOMONTH(DATE(A70,MATCH(B70,{"Januar","Februar","März","April","Mai","Juni","Juli","August","September","Oktober","November","Dezember"},0),1),0)&lt;=TODAY()-Steuerung!$C$27,"Reif","Frisch"))</f>
        <v/>
      </c>
    </row>
    <row r="71" spans="1:8" ht="15" hidden="1" customHeight="1" x14ac:dyDescent="0.25">
      <c r="A71" s="41"/>
      <c r="B71" s="41"/>
      <c r="C71" s="41"/>
      <c r="D71" s="41"/>
      <c r="E71" s="41"/>
      <c r="F71" s="41"/>
      <c r="G71" s="93" t="str">
        <f t="shared" si="1"/>
        <v>-</v>
      </c>
      <c r="H71" s="10" t="str">
        <f ca="1">IF(OR(A71="",B71=""),"",IF(EOMONTH(DATE(A71,MATCH(B71,{"Januar","Februar","März","April","Mai","Juni","Juli","August","September","Oktober","November","Dezember"},0),1),0)&lt;=TODAY()-Steuerung!$C$27,"Reif","Frisch"))</f>
        <v/>
      </c>
    </row>
    <row r="72" spans="1:8" ht="15" hidden="1" customHeight="1" x14ac:dyDescent="0.25">
      <c r="A72" s="37"/>
      <c r="B72" s="37"/>
      <c r="C72" s="37"/>
      <c r="D72" s="37"/>
      <c r="E72" s="37"/>
      <c r="F72" s="37"/>
      <c r="G72" s="91" t="str">
        <f t="shared" si="1"/>
        <v>-</v>
      </c>
      <c r="H72" s="14" t="str">
        <f ca="1">IF(OR(A72="",B72=""),"",IF(EOMONTH(DATE(A72,MATCH(B72,{"Januar","Februar","März","April","Mai","Juni","Juli","August","September","Oktober","November","Dezember"},0),1),0)&lt;=TODAY()-Steuerung!$C$27,"Reif","Frisch"))</f>
        <v/>
      </c>
    </row>
    <row r="73" spans="1:8" ht="15" hidden="1" customHeight="1" x14ac:dyDescent="0.25">
      <c r="A73" s="41"/>
      <c r="B73" s="41"/>
      <c r="C73" s="41"/>
      <c r="D73" s="41"/>
      <c r="E73" s="41"/>
      <c r="F73" s="41"/>
      <c r="G73" s="93" t="str">
        <f t="shared" si="1"/>
        <v>-</v>
      </c>
      <c r="H73" s="10" t="str">
        <f ca="1">IF(OR(A73="",B73=""),"",IF(EOMONTH(DATE(A73,MATCH(B73,{"Januar","Februar","März","April","Mai","Juni","Juli","August","September","Oktober","November","Dezember"},0),1),0)&lt;=TODAY()-Steuerung!$C$27,"Reif","Frisch"))</f>
        <v/>
      </c>
    </row>
    <row r="74" spans="1:8" ht="15" hidden="1" customHeight="1" x14ac:dyDescent="0.25">
      <c r="A74" s="37"/>
      <c r="B74" s="37"/>
      <c r="C74" s="37"/>
      <c r="D74" s="37"/>
      <c r="E74" s="37"/>
      <c r="F74" s="37"/>
      <c r="G74" s="91" t="str">
        <f t="shared" si="1"/>
        <v>-</v>
      </c>
      <c r="H74" s="14" t="str">
        <f ca="1">IF(OR(A74="",B74=""),"",IF(EOMONTH(DATE(A74,MATCH(B74,{"Januar","Februar","März","April","Mai","Juni","Juli","August","September","Oktober","November","Dezember"},0),1),0)&lt;=TODAY()-Steuerung!$C$27,"Reif","Frisch"))</f>
        <v/>
      </c>
    </row>
    <row r="75" spans="1:8" ht="15" hidden="1" customHeight="1" x14ac:dyDescent="0.25">
      <c r="A75" s="41"/>
      <c r="B75" s="41"/>
      <c r="C75" s="41"/>
      <c r="D75" s="41"/>
      <c r="E75" s="41"/>
      <c r="F75" s="41"/>
      <c r="G75" s="93" t="str">
        <f t="shared" si="1"/>
        <v>-</v>
      </c>
      <c r="H75" s="10" t="str">
        <f ca="1">IF(OR(A75="",B75=""),"",IF(EOMONTH(DATE(A75,MATCH(B75,{"Januar","Februar","März","April","Mai","Juni","Juli","August","September","Oktober","November","Dezember"},0),1),0)&lt;=TODAY()-Steuerung!$C$27,"Reif","Frisch"))</f>
        <v/>
      </c>
    </row>
    <row r="76" spans="1:8" ht="15" hidden="1" customHeight="1" x14ac:dyDescent="0.25">
      <c r="A76" s="37"/>
      <c r="B76" s="37"/>
      <c r="C76" s="37"/>
      <c r="D76" s="37"/>
      <c r="E76" s="37"/>
      <c r="F76" s="37"/>
      <c r="G76" s="91" t="str">
        <f t="shared" si="1"/>
        <v>-</v>
      </c>
      <c r="H76" s="14" t="str">
        <f ca="1">IF(OR(A76="",B76=""),"",IF(EOMONTH(DATE(A76,MATCH(B76,{"Januar","Februar","März","April","Mai","Juni","Juli","August","September","Oktober","November","Dezember"},0),1),0)&lt;=TODAY()-Steuerung!$C$27,"Reif","Frisch"))</f>
        <v/>
      </c>
    </row>
    <row r="77" spans="1:8" ht="15" hidden="1" customHeight="1" x14ac:dyDescent="0.25">
      <c r="A77" s="41"/>
      <c r="B77" s="41"/>
      <c r="C77" s="41"/>
      <c r="D77" s="41"/>
      <c r="E77" s="41"/>
      <c r="F77" s="41"/>
      <c r="G77" s="93" t="str">
        <f t="shared" si="1"/>
        <v>-</v>
      </c>
      <c r="H77" s="10" t="str">
        <f ca="1">IF(OR(A77="",B77=""),"",IF(EOMONTH(DATE(A77,MATCH(B77,{"Januar","Februar","März","April","Mai","Juni","Juli","August","September","Oktober","November","Dezember"},0),1),0)&lt;=TODAY()-Steuerung!$C$27,"Reif","Frisch"))</f>
        <v/>
      </c>
    </row>
    <row r="78" spans="1:8" ht="15" hidden="1" customHeight="1" x14ac:dyDescent="0.25">
      <c r="A78" s="37"/>
      <c r="B78" s="37"/>
      <c r="C78" s="37"/>
      <c r="D78" s="37"/>
      <c r="E78" s="37"/>
      <c r="F78" s="37"/>
      <c r="G78" s="91" t="str">
        <f t="shared" si="1"/>
        <v>-</v>
      </c>
      <c r="H78" s="14" t="str">
        <f ca="1">IF(OR(A78="",B78=""),"",IF(EOMONTH(DATE(A78,MATCH(B78,{"Januar","Februar","März","April","Mai","Juni","Juli","August","September","Oktober","November","Dezember"},0),1),0)&lt;=TODAY()-Steuerung!$C$27,"Reif","Frisch"))</f>
        <v/>
      </c>
    </row>
    <row r="79" spans="1:8" ht="15" hidden="1" customHeight="1" x14ac:dyDescent="0.25">
      <c r="A79" s="41"/>
      <c r="B79" s="41"/>
      <c r="C79" s="41"/>
      <c r="D79" s="41"/>
      <c r="E79" s="41"/>
      <c r="F79" s="41"/>
      <c r="G79" s="93" t="str">
        <f t="shared" si="1"/>
        <v>-</v>
      </c>
      <c r="H79" s="10" t="str">
        <f ca="1">IF(OR(A79="",B79=""),"",IF(EOMONTH(DATE(A79,MATCH(B79,{"Januar","Februar","März","April","Mai","Juni","Juli","August","September","Oktober","November","Dezember"},0),1),0)&lt;=TODAY()-Steuerung!$C$27,"Reif","Frisch"))</f>
        <v/>
      </c>
    </row>
    <row r="80" spans="1:8" ht="15" hidden="1" customHeight="1" x14ac:dyDescent="0.25">
      <c r="A80" s="37"/>
      <c r="B80" s="37"/>
      <c r="C80" s="37"/>
      <c r="D80" s="37"/>
      <c r="E80" s="37"/>
      <c r="F80" s="37"/>
      <c r="G80" s="91" t="str">
        <f t="shared" si="1"/>
        <v>-</v>
      </c>
      <c r="H80" s="14" t="str">
        <f ca="1">IF(OR(A80="",B80=""),"",IF(EOMONTH(DATE(A80,MATCH(B80,{"Januar","Februar","März","April","Mai","Juni","Juli","August","September","Oktober","November","Dezember"},0),1),0)&lt;=TODAY()-Steuerung!$C$27,"Reif","Frisch"))</f>
        <v/>
      </c>
    </row>
    <row r="81" spans="1:8" ht="15" hidden="1" customHeight="1" x14ac:dyDescent="0.25">
      <c r="A81" s="41"/>
      <c r="B81" s="41"/>
      <c r="C81" s="41"/>
      <c r="D81" s="41"/>
      <c r="E81" s="41"/>
      <c r="F81" s="41"/>
      <c r="G81" s="93" t="str">
        <f t="shared" si="1"/>
        <v>-</v>
      </c>
      <c r="H81" s="10" t="str">
        <f ca="1">IF(OR(A81="",B81=""),"",IF(EOMONTH(DATE(A81,MATCH(B81,{"Januar","Februar","März","April","Mai","Juni","Juli","August","September","Oktober","November","Dezember"},0),1),0)&lt;=TODAY()-Steuerung!$C$27,"Reif","Frisch"))</f>
        <v/>
      </c>
    </row>
    <row r="82" spans="1:8" ht="15" hidden="1" customHeight="1" x14ac:dyDescent="0.25">
      <c r="A82" s="37"/>
      <c r="B82" s="37"/>
      <c r="C82" s="37"/>
      <c r="D82" s="37"/>
      <c r="E82" s="37"/>
      <c r="F82" s="37"/>
      <c r="G82" s="91" t="str">
        <f t="shared" si="1"/>
        <v>-</v>
      </c>
      <c r="H82" s="14" t="str">
        <f ca="1">IF(OR(A82="",B82=""),"",IF(EOMONTH(DATE(A82,MATCH(B82,{"Januar","Februar","März","April","Mai","Juni","Juli","August","September","Oktober","November","Dezember"},0),1),0)&lt;=TODAY()-Steuerung!$C$27,"Reif","Frisch"))</f>
        <v/>
      </c>
    </row>
    <row r="83" spans="1:8" ht="15" hidden="1" customHeight="1" x14ac:dyDescent="0.25">
      <c r="A83" s="41"/>
      <c r="B83" s="41"/>
      <c r="C83" s="41"/>
      <c r="D83" s="41"/>
      <c r="E83" s="41"/>
      <c r="F83" s="41"/>
      <c r="G83" s="93" t="str">
        <f t="shared" si="1"/>
        <v>-</v>
      </c>
      <c r="H83" s="10" t="str">
        <f ca="1">IF(OR(A83="",B83=""),"",IF(EOMONTH(DATE(A83,MATCH(B83,{"Januar","Februar","März","April","Mai","Juni","Juli","August","September","Oktober","November","Dezember"},0),1),0)&lt;=TODAY()-Steuerung!$C$27,"Reif","Frisch"))</f>
        <v/>
      </c>
    </row>
    <row r="84" spans="1:8" ht="15" hidden="1" customHeight="1" x14ac:dyDescent="0.25">
      <c r="A84" s="37"/>
      <c r="B84" s="37"/>
      <c r="C84" s="37"/>
      <c r="D84" s="37"/>
      <c r="E84" s="37"/>
      <c r="F84" s="37"/>
      <c r="G84" s="91" t="str">
        <f t="shared" si="1"/>
        <v>-</v>
      </c>
      <c r="H84" s="14" t="str">
        <f ca="1">IF(OR(A84="",B84=""),"",IF(EOMONTH(DATE(A84,MATCH(B84,{"Januar","Februar","März","April","Mai","Juni","Juli","August","September","Oktober","November","Dezember"},0),1),0)&lt;=TODAY()-Steuerung!$C$27,"Reif","Frisch"))</f>
        <v/>
      </c>
    </row>
    <row r="85" spans="1:8" ht="15" hidden="1" customHeight="1" x14ac:dyDescent="0.25">
      <c r="A85" s="41"/>
      <c r="B85" s="41"/>
      <c r="C85" s="41"/>
      <c r="D85" s="41"/>
      <c r="E85" s="41"/>
      <c r="F85" s="41"/>
      <c r="G85" s="93" t="str">
        <f t="shared" si="1"/>
        <v>-</v>
      </c>
      <c r="H85" s="10" t="str">
        <f ca="1">IF(OR(A85="",B85=""),"",IF(EOMONTH(DATE(A85,MATCH(B85,{"Januar","Februar","März","April","Mai","Juni","Juli","August","September","Oktober","November","Dezember"},0),1),0)&lt;=TODAY()-Steuerung!$C$27,"Reif","Frisch"))</f>
        <v/>
      </c>
    </row>
    <row r="86" spans="1:8" ht="15" hidden="1" customHeight="1" x14ac:dyDescent="0.25">
      <c r="A86" s="37"/>
      <c r="B86" s="37"/>
      <c r="C86" s="37"/>
      <c r="D86" s="37"/>
      <c r="E86" s="37"/>
      <c r="F86" s="37"/>
      <c r="G86" s="91" t="str">
        <f t="shared" si="1"/>
        <v>-</v>
      </c>
      <c r="H86" s="14" t="str">
        <f ca="1">IF(OR(A86="",B86=""),"",IF(EOMONTH(DATE(A86,MATCH(B86,{"Januar","Februar","März","April","Mai","Juni","Juli","August","September","Oktober","November","Dezember"},0),1),0)&lt;=TODAY()-Steuerung!$C$27,"Reif","Frisch"))</f>
        <v/>
      </c>
    </row>
    <row r="87" spans="1:8" ht="15" hidden="1" customHeight="1" x14ac:dyDescent="0.25">
      <c r="A87" s="41"/>
      <c r="B87" s="41"/>
      <c r="C87" s="41"/>
      <c r="D87" s="41"/>
      <c r="E87" s="41"/>
      <c r="F87" s="41"/>
      <c r="G87" s="93" t="str">
        <f t="shared" si="1"/>
        <v>-</v>
      </c>
      <c r="H87" s="10" t="str">
        <f ca="1">IF(OR(A87="",B87=""),"",IF(EOMONTH(DATE(A87,MATCH(B87,{"Januar","Februar","März","April","Mai","Juni","Juli","August","September","Oktober","November","Dezember"},0),1),0)&lt;=TODAY()-Steuerung!$C$27,"Reif","Frisch"))</f>
        <v/>
      </c>
    </row>
    <row r="88" spans="1:8" ht="15" hidden="1" customHeight="1" x14ac:dyDescent="0.25">
      <c r="A88" s="37"/>
      <c r="B88" s="37"/>
      <c r="C88" s="37"/>
      <c r="D88" s="37"/>
      <c r="E88" s="37"/>
      <c r="F88" s="37"/>
      <c r="G88" s="91" t="str">
        <f t="shared" si="1"/>
        <v>-</v>
      </c>
      <c r="H88" s="14" t="str">
        <f ca="1">IF(OR(A88="",B88=""),"",IF(EOMONTH(DATE(A88,MATCH(B88,{"Januar","Februar","März","April","Mai","Juni","Juli","August","September","Oktober","November","Dezember"},0),1),0)&lt;=TODAY()-Steuerung!$C$27,"Reif","Frisch"))</f>
        <v/>
      </c>
    </row>
    <row r="89" spans="1:8" ht="15" hidden="1" customHeight="1" x14ac:dyDescent="0.25">
      <c r="A89" s="41"/>
      <c r="B89" s="41"/>
      <c r="C89" s="41"/>
      <c r="D89" s="41"/>
      <c r="E89" s="41"/>
      <c r="F89" s="41"/>
      <c r="G89" s="93" t="str">
        <f t="shared" si="1"/>
        <v>-</v>
      </c>
      <c r="H89" s="10" t="str">
        <f ca="1">IF(OR(A89="",B89=""),"",IF(EOMONTH(DATE(A89,MATCH(B89,{"Januar","Februar","März","April","Mai","Juni","Juli","August","September","Oktober","November","Dezember"},0),1),0)&lt;=TODAY()-Steuerung!$C$27,"Reif","Frisch"))</f>
        <v/>
      </c>
    </row>
    <row r="90" spans="1:8" ht="15" hidden="1" customHeight="1" x14ac:dyDescent="0.25">
      <c r="A90" s="37"/>
      <c r="B90" s="37"/>
      <c r="C90" s="37"/>
      <c r="D90" s="37"/>
      <c r="E90" s="37"/>
      <c r="F90" s="37"/>
      <c r="G90" s="91" t="str">
        <f t="shared" si="1"/>
        <v>-</v>
      </c>
      <c r="H90" s="14" t="str">
        <f ca="1">IF(OR(A90="",B90=""),"",IF(EOMONTH(DATE(A90,MATCH(B90,{"Januar","Februar","März","April","Mai","Juni","Juli","August","September","Oktober","November","Dezember"},0),1),0)&lt;=TODAY()-Steuerung!$C$27,"Reif","Frisch"))</f>
        <v/>
      </c>
    </row>
    <row r="91" spans="1:8" ht="15" hidden="1" customHeight="1" x14ac:dyDescent="0.25">
      <c r="A91" s="41"/>
      <c r="B91" s="41"/>
      <c r="C91" s="41"/>
      <c r="D91" s="41"/>
      <c r="E91" s="41"/>
      <c r="F91" s="41"/>
      <c r="G91" s="93" t="str">
        <f t="shared" si="1"/>
        <v>-</v>
      </c>
      <c r="H91" s="10" t="str">
        <f ca="1">IF(OR(A91="",B91=""),"",IF(EOMONTH(DATE(A91,MATCH(B91,{"Januar","Februar","März","April","Mai","Juni","Juli","August","September","Oktober","November","Dezember"},0),1),0)&lt;=TODAY()-Steuerung!$C$27,"Reif","Frisch"))</f>
        <v/>
      </c>
    </row>
    <row r="92" spans="1:8" ht="15" hidden="1" customHeight="1" x14ac:dyDescent="0.25">
      <c r="A92" s="37"/>
      <c r="B92" s="37"/>
      <c r="C92" s="37"/>
      <c r="D92" s="37"/>
      <c r="E92" s="37"/>
      <c r="F92" s="37"/>
      <c r="G92" s="91" t="str">
        <f t="shared" si="1"/>
        <v>-</v>
      </c>
      <c r="H92" s="14" t="str">
        <f ca="1">IF(OR(A92="",B92=""),"",IF(EOMONTH(DATE(A92,MATCH(B92,{"Januar","Februar","März","April","Mai","Juni","Juli","August","September","Oktober","November","Dezember"},0),1),0)&lt;=TODAY()-Steuerung!$C$27,"Reif","Frisch"))</f>
        <v/>
      </c>
    </row>
    <row r="93" spans="1:8" ht="15" hidden="1" customHeight="1" x14ac:dyDescent="0.25">
      <c r="A93" s="41"/>
      <c r="B93" s="41"/>
      <c r="C93" s="41"/>
      <c r="D93" s="41"/>
      <c r="E93" s="41"/>
      <c r="F93" s="41"/>
      <c r="G93" s="93" t="str">
        <f t="shared" si="1"/>
        <v>-</v>
      </c>
      <c r="H93" s="10" t="str">
        <f ca="1">IF(OR(A93="",B93=""),"",IF(EOMONTH(DATE(A93,MATCH(B93,{"Januar","Februar","März","April","Mai","Juni","Juli","August","September","Oktober","November","Dezember"},0),1),0)&lt;=TODAY()-Steuerung!$C$27,"Reif","Frisch"))</f>
        <v/>
      </c>
    </row>
    <row r="94" spans="1:8" ht="15" hidden="1" customHeight="1" x14ac:dyDescent="0.25">
      <c r="A94" s="37"/>
      <c r="B94" s="37"/>
      <c r="C94" s="37"/>
      <c r="D94" s="37"/>
      <c r="E94" s="37"/>
      <c r="F94" s="37"/>
      <c r="G94" s="91" t="str">
        <f t="shared" si="1"/>
        <v>-</v>
      </c>
      <c r="H94" s="14" t="str">
        <f ca="1">IF(OR(A94="",B94=""),"",IF(EOMONTH(DATE(A94,MATCH(B94,{"Januar","Februar","März","April","Mai","Juni","Juli","August","September","Oktober","November","Dezember"},0),1),0)&lt;=TODAY()-Steuerung!$C$27,"Reif","Frisch"))</f>
        <v/>
      </c>
    </row>
    <row r="95" spans="1:8" ht="15" hidden="1" customHeight="1" x14ac:dyDescent="0.25">
      <c r="A95" s="41"/>
      <c r="B95" s="41"/>
      <c r="C95" s="41"/>
      <c r="D95" s="41"/>
      <c r="E95" s="41"/>
      <c r="F95" s="41"/>
      <c r="G95" s="93" t="str">
        <f t="shared" si="1"/>
        <v>-</v>
      </c>
      <c r="H95" s="10" t="str">
        <f ca="1">IF(OR(A95="",B95=""),"",IF(EOMONTH(DATE(A95,MATCH(B95,{"Januar","Februar","März","April","Mai","Juni","Juli","August","September","Oktober","November","Dezember"},0),1),0)&lt;=TODAY()-Steuerung!$C$27,"Reif","Frisch"))</f>
        <v/>
      </c>
    </row>
    <row r="96" spans="1:8" ht="15" hidden="1" customHeight="1" x14ac:dyDescent="0.25">
      <c r="A96" s="37"/>
      <c r="B96" s="37"/>
      <c r="C96" s="37"/>
      <c r="D96" s="37"/>
      <c r="E96" s="37"/>
      <c r="F96" s="37"/>
      <c r="G96" s="91" t="str">
        <f t="shared" si="1"/>
        <v>-</v>
      </c>
      <c r="H96" s="14" t="str">
        <f ca="1">IF(OR(A96="",B96=""),"",IF(EOMONTH(DATE(A96,MATCH(B96,{"Januar","Februar","März","April","Mai","Juni","Juli","August","September","Oktober","November","Dezember"},0),1),0)&lt;=TODAY()-Steuerung!$C$27,"Reif","Frisch"))</f>
        <v/>
      </c>
    </row>
    <row r="97" spans="1:8" ht="15" hidden="1" customHeight="1" x14ac:dyDescent="0.25">
      <c r="A97" s="41"/>
      <c r="B97" s="41"/>
      <c r="C97" s="41"/>
      <c r="D97" s="41"/>
      <c r="E97" s="41"/>
      <c r="F97" s="41"/>
      <c r="G97" s="93" t="str">
        <f t="shared" si="1"/>
        <v>-</v>
      </c>
      <c r="H97" s="10" t="str">
        <f ca="1">IF(OR(A97="",B97=""),"",IF(EOMONTH(DATE(A97,MATCH(B97,{"Januar","Februar","März","April","Mai","Juni","Juli","August","September","Oktober","November","Dezember"},0),1),0)&lt;=TODAY()-Steuerung!$C$27,"Reif","Frisch"))</f>
        <v/>
      </c>
    </row>
    <row r="98" spans="1:8" ht="15" hidden="1" customHeight="1" x14ac:dyDescent="0.25">
      <c r="A98" s="37"/>
      <c r="B98" s="37"/>
      <c r="C98" s="37"/>
      <c r="D98" s="37"/>
      <c r="E98" s="37"/>
      <c r="F98" s="37"/>
      <c r="G98" s="91" t="str">
        <f t="shared" si="1"/>
        <v>-</v>
      </c>
      <c r="H98" s="14" t="str">
        <f ca="1">IF(OR(A98="",B98=""),"",IF(EOMONTH(DATE(A98,MATCH(B98,{"Januar","Februar","März","April","Mai","Juni","Juli","August","September","Oktober","November","Dezember"},0),1),0)&lt;=TODAY()-Steuerung!$C$27,"Reif","Frisch"))</f>
        <v/>
      </c>
    </row>
    <row r="99" spans="1:8" ht="15" hidden="1" customHeight="1" x14ac:dyDescent="0.25">
      <c r="A99" s="41"/>
      <c r="B99" s="41"/>
      <c r="C99" s="41"/>
      <c r="D99" s="41"/>
      <c r="E99" s="41"/>
      <c r="F99" s="41"/>
      <c r="G99" s="93" t="str">
        <f t="shared" si="1"/>
        <v>-</v>
      </c>
      <c r="H99" s="10" t="str">
        <f ca="1">IF(OR(A99="",B99=""),"",IF(EOMONTH(DATE(A99,MATCH(B99,{"Januar","Februar","März","April","Mai","Juni","Juli","August","September","Oktober","November","Dezember"},0),1),0)&lt;=TODAY()-Steuerung!$C$27,"Reif","Frisch"))</f>
        <v/>
      </c>
    </row>
    <row r="100" spans="1:8" ht="15" hidden="1" customHeight="1" x14ac:dyDescent="0.25">
      <c r="A100" s="37"/>
      <c r="B100" s="37"/>
      <c r="C100" s="37"/>
      <c r="D100" s="37"/>
      <c r="E100" s="37"/>
      <c r="F100" s="37"/>
      <c r="G100" s="91" t="str">
        <f t="shared" si="1"/>
        <v>-</v>
      </c>
      <c r="H100" s="14" t="str">
        <f ca="1">IF(OR(A100="",B100=""),"",IF(EOMONTH(DATE(A100,MATCH(B100,{"Januar","Februar","März","April","Mai","Juni","Juli","August","September","Oktober","November","Dezember"},0),1),0)&lt;=TODAY()-Steuerung!$C$27,"Reif","Frisch"))</f>
        <v/>
      </c>
    </row>
    <row r="101" spans="1:8" ht="15" hidden="1" customHeight="1" x14ac:dyDescent="0.25">
      <c r="A101" s="41"/>
      <c r="B101" s="41"/>
      <c r="C101" s="41"/>
      <c r="D101" s="41"/>
      <c r="E101" s="41"/>
      <c r="F101" s="41"/>
      <c r="G101" s="93" t="str">
        <f t="shared" si="1"/>
        <v>-</v>
      </c>
      <c r="H101" s="10" t="str">
        <f ca="1">IF(OR(A101="",B101=""),"",IF(EOMONTH(DATE(A101,MATCH(B101,{"Januar","Februar","März","April","Mai","Juni","Juli","August","September","Oktober","November","Dezember"},0),1),0)&lt;=TODAY()-Steuerung!$C$27,"Reif","Frisch"))</f>
        <v/>
      </c>
    </row>
    <row r="102" spans="1:8" ht="15" hidden="1" customHeight="1" x14ac:dyDescent="0.25">
      <c r="A102" s="37"/>
      <c r="B102" s="37"/>
      <c r="C102" s="37"/>
      <c r="D102" s="37"/>
      <c r="E102" s="37"/>
      <c r="F102" s="37"/>
      <c r="G102" s="91" t="str">
        <f t="shared" si="1"/>
        <v>-</v>
      </c>
      <c r="H102" s="14" t="str">
        <f ca="1">IF(OR(A102="",B102=""),"",IF(EOMONTH(DATE(A102,MATCH(B102,{"Januar","Februar","März","April","Mai","Juni","Juli","August","September","Oktober","November","Dezember"},0),1),0)&lt;=TODAY()-Steuerung!$C$27,"Reif","Frisch"))</f>
        <v/>
      </c>
    </row>
    <row r="103" spans="1:8" ht="15" hidden="1" customHeight="1" x14ac:dyDescent="0.25">
      <c r="A103" s="41"/>
      <c r="B103" s="41"/>
      <c r="C103" s="41"/>
      <c r="D103" s="41"/>
      <c r="E103" s="41"/>
      <c r="F103" s="41"/>
      <c r="G103" s="93" t="str">
        <f t="shared" si="1"/>
        <v>-</v>
      </c>
      <c r="H103" s="10" t="str">
        <f ca="1">IF(OR(A103="",B103=""),"",IF(EOMONTH(DATE(A103,MATCH(B103,{"Januar","Februar","März","April","Mai","Juni","Juli","August","September","Oktober","November","Dezember"},0),1),0)&lt;=TODAY()-Steuerung!$C$27,"Reif","Frisch"))</f>
        <v/>
      </c>
    </row>
    <row r="104" spans="1:8" ht="15" hidden="1" customHeight="1" x14ac:dyDescent="0.25">
      <c r="A104" s="37"/>
      <c r="B104" s="37"/>
      <c r="C104" s="37"/>
      <c r="D104" s="37"/>
      <c r="E104" s="37"/>
      <c r="F104" s="37"/>
      <c r="G104" s="91" t="str">
        <f t="shared" si="1"/>
        <v>-</v>
      </c>
      <c r="H104" s="14" t="str">
        <f ca="1">IF(OR(A104="",B104=""),"",IF(EOMONTH(DATE(A104,MATCH(B104,{"Januar","Februar","März","April","Mai","Juni","Juli","August","September","Oktober","November","Dezember"},0),1),0)&lt;=TODAY()-Steuerung!$C$27,"Reif","Frisch"))</f>
        <v/>
      </c>
    </row>
    <row r="105" spans="1:8" ht="15" hidden="1" customHeight="1" x14ac:dyDescent="0.25">
      <c r="A105" s="41"/>
      <c r="B105" s="41"/>
      <c r="C105" s="41"/>
      <c r="D105" s="41"/>
      <c r="E105" s="41"/>
      <c r="F105" s="41"/>
      <c r="G105" s="93" t="str">
        <f t="shared" si="1"/>
        <v>-</v>
      </c>
      <c r="H105" s="10" t="str">
        <f ca="1">IF(OR(A105="",B105=""),"",IF(EOMONTH(DATE(A105,MATCH(B105,{"Januar","Februar","März","April","Mai","Juni","Juli","August","September","Oktober","November","Dezember"},0),1),0)&lt;=TODAY()-Steuerung!$C$27,"Reif","Frisch"))</f>
        <v/>
      </c>
    </row>
    <row r="106" spans="1:8" ht="15" hidden="1" customHeight="1" x14ac:dyDescent="0.25">
      <c r="A106" s="37"/>
      <c r="B106" s="37"/>
      <c r="C106" s="37"/>
      <c r="D106" s="37"/>
      <c r="E106" s="37"/>
      <c r="F106" s="37"/>
      <c r="G106" s="91" t="str">
        <f t="shared" si="1"/>
        <v>-</v>
      </c>
      <c r="H106" s="14" t="str">
        <f ca="1">IF(OR(A106="",B106=""),"",IF(EOMONTH(DATE(A106,MATCH(B106,{"Januar","Februar","März","April","Mai","Juni","Juli","August","September","Oktober","November","Dezember"},0),1),0)&lt;=TODAY()-Steuerung!$C$27,"Reif","Frisch"))</f>
        <v/>
      </c>
    </row>
    <row r="107" spans="1:8" ht="15" hidden="1" customHeight="1" x14ac:dyDescent="0.25">
      <c r="A107" s="41"/>
      <c r="B107" s="41"/>
      <c r="C107" s="41"/>
      <c r="D107" s="41"/>
      <c r="E107" s="41"/>
      <c r="F107" s="41"/>
      <c r="G107" s="93" t="str">
        <f t="shared" si="1"/>
        <v>-</v>
      </c>
      <c r="H107" s="10" t="str">
        <f ca="1">IF(OR(A107="",B107=""),"",IF(EOMONTH(DATE(A107,MATCH(B107,{"Januar","Februar","März","April","Mai","Juni","Juli","August","September","Oktober","November","Dezember"},0),1),0)&lt;=TODAY()-Steuerung!$C$27,"Reif","Frisch"))</f>
        <v/>
      </c>
    </row>
    <row r="108" spans="1:8" ht="15" hidden="1" customHeight="1" x14ac:dyDescent="0.25">
      <c r="A108" s="37"/>
      <c r="B108" s="37"/>
      <c r="C108" s="37"/>
      <c r="D108" s="37"/>
      <c r="E108" s="37"/>
      <c r="F108" s="37"/>
      <c r="G108" s="91" t="str">
        <f t="shared" si="1"/>
        <v>-</v>
      </c>
      <c r="H108" s="14" t="str">
        <f ca="1">IF(OR(A108="",B108=""),"",IF(EOMONTH(DATE(A108,MATCH(B108,{"Januar","Februar","März","April","Mai","Juni","Juli","August","September","Oktober","November","Dezember"},0),1),0)&lt;=TODAY()-Steuerung!$C$27,"Reif","Frisch"))</f>
        <v/>
      </c>
    </row>
    <row r="109" spans="1:8" ht="15" hidden="1" customHeight="1" x14ac:dyDescent="0.25">
      <c r="A109" s="41"/>
      <c r="B109" s="41"/>
      <c r="C109" s="41"/>
      <c r="D109" s="41"/>
      <c r="E109" s="41"/>
      <c r="F109" s="41"/>
      <c r="G109" s="93" t="str">
        <f t="shared" si="1"/>
        <v>-</v>
      </c>
      <c r="H109" s="10" t="str">
        <f ca="1">IF(OR(A109="",B109=""),"",IF(EOMONTH(DATE(A109,MATCH(B109,{"Januar","Februar","März","April","Mai","Juni","Juli","August","September","Oktober","November","Dezember"},0),1),0)&lt;=TODAY()-Steuerung!$C$27,"Reif","Frisch"))</f>
        <v/>
      </c>
    </row>
    <row r="110" spans="1:8" ht="15" hidden="1" customHeight="1" x14ac:dyDescent="0.25">
      <c r="A110" s="37"/>
      <c r="B110" s="37"/>
      <c r="C110" s="37"/>
      <c r="D110" s="37"/>
      <c r="E110" s="37"/>
      <c r="F110" s="37"/>
      <c r="G110" s="91" t="str">
        <f t="shared" si="1"/>
        <v>-</v>
      </c>
      <c r="H110" s="14" t="str">
        <f ca="1">IF(OR(A110="",B110=""),"",IF(EOMONTH(DATE(A110,MATCH(B110,{"Januar","Februar","März","April","Mai","Juni","Juli","August","September","Oktober","November","Dezember"},0),1),0)&lt;=TODAY()-Steuerung!$C$27,"Reif","Frisch"))</f>
        <v/>
      </c>
    </row>
    <row r="111" spans="1:8" ht="15" hidden="1" customHeight="1" x14ac:dyDescent="0.25">
      <c r="A111" s="41"/>
      <c r="B111" s="41"/>
      <c r="C111" s="41"/>
      <c r="D111" s="41"/>
      <c r="E111" s="41"/>
      <c r="F111" s="41"/>
      <c r="G111" s="93" t="str">
        <f t="shared" si="1"/>
        <v>-</v>
      </c>
      <c r="H111" s="10" t="str">
        <f ca="1">IF(OR(A111="",B111=""),"",IF(EOMONTH(DATE(A111,MATCH(B111,{"Januar","Februar","März","April","Mai","Juni","Juli","August","September","Oktober","November","Dezember"},0),1),0)&lt;=TODAY()-Steuerung!$C$27,"Reif","Frisch"))</f>
        <v/>
      </c>
    </row>
    <row r="112" spans="1:8" ht="15" hidden="1" customHeight="1" x14ac:dyDescent="0.25">
      <c r="A112" s="37"/>
      <c r="B112" s="37"/>
      <c r="C112" s="37"/>
      <c r="D112" s="37"/>
      <c r="E112" s="37"/>
      <c r="F112" s="37"/>
      <c r="G112" s="91" t="str">
        <f t="shared" si="1"/>
        <v>-</v>
      </c>
      <c r="H112" s="14" t="str">
        <f ca="1">IF(OR(A112="",B112=""),"",IF(EOMONTH(DATE(A112,MATCH(B112,{"Januar","Februar","März","April","Mai","Juni","Juli","August","September","Oktober","November","Dezember"},0),1),0)&lt;=TODAY()-Steuerung!$C$27,"Reif","Frisch"))</f>
        <v/>
      </c>
    </row>
    <row r="113" spans="1:8" ht="15" hidden="1" customHeight="1" x14ac:dyDescent="0.25">
      <c r="A113" s="41"/>
      <c r="B113" s="41"/>
      <c r="C113" s="41"/>
      <c r="D113" s="41"/>
      <c r="E113" s="41"/>
      <c r="F113" s="41"/>
      <c r="G113" s="93" t="str">
        <f t="shared" si="1"/>
        <v>-</v>
      </c>
      <c r="H113" s="10" t="str">
        <f ca="1">IF(OR(A113="",B113=""),"",IF(EOMONTH(DATE(A113,MATCH(B113,{"Januar","Februar","März","April","Mai","Juni","Juli","August","September","Oktober","November","Dezember"},0),1),0)&lt;=TODAY()-Steuerung!$C$27,"Reif","Frisch"))</f>
        <v/>
      </c>
    </row>
    <row r="114" spans="1:8" ht="15" hidden="1" customHeight="1" x14ac:dyDescent="0.25">
      <c r="A114" s="37"/>
      <c r="B114" s="37"/>
      <c r="C114" s="37"/>
      <c r="D114" s="37"/>
      <c r="E114" s="37"/>
      <c r="F114" s="37"/>
      <c r="G114" s="91" t="str">
        <f t="shared" si="1"/>
        <v>-</v>
      </c>
      <c r="H114" s="14" t="str">
        <f ca="1">IF(OR(A114="",B114=""),"",IF(EOMONTH(DATE(A114,MATCH(B114,{"Januar","Februar","März","April","Mai","Juni","Juli","August","September","Oktober","November","Dezember"},0),1),0)&lt;=TODAY()-Steuerung!$C$27,"Reif","Frisch"))</f>
        <v/>
      </c>
    </row>
    <row r="115" spans="1:8" ht="15" hidden="1" customHeight="1" x14ac:dyDescent="0.25">
      <c r="A115" s="41"/>
      <c r="B115" s="41"/>
      <c r="C115" s="41"/>
      <c r="D115" s="41"/>
      <c r="E115" s="41"/>
      <c r="F115" s="41"/>
      <c r="G115" s="93" t="str">
        <f t="shared" si="1"/>
        <v>-</v>
      </c>
      <c r="H115" s="10" t="str">
        <f ca="1">IF(OR(A115="",B115=""),"",IF(EOMONTH(DATE(A115,MATCH(B115,{"Januar","Februar","März","April","Mai","Juni","Juli","August","September","Oktober","November","Dezember"},0),1),0)&lt;=TODAY()-Steuerung!$C$27,"Reif","Frisch"))</f>
        <v/>
      </c>
    </row>
    <row r="116" spans="1:8" ht="15" hidden="1" customHeight="1" x14ac:dyDescent="0.25">
      <c r="A116" s="37"/>
      <c r="B116" s="37"/>
      <c r="C116" s="37"/>
      <c r="D116" s="37"/>
      <c r="E116" s="37"/>
      <c r="F116" s="37"/>
      <c r="G116" s="91" t="str">
        <f t="shared" si="1"/>
        <v>-</v>
      </c>
      <c r="H116" s="14" t="str">
        <f ca="1">IF(OR(A116="",B116=""),"",IF(EOMONTH(DATE(A116,MATCH(B116,{"Januar","Februar","März","April","Mai","Juni","Juli","August","September","Oktober","November","Dezember"},0),1),0)&lt;=TODAY()-Steuerung!$C$27,"Reif","Frisch"))</f>
        <v/>
      </c>
    </row>
    <row r="117" spans="1:8" ht="15" hidden="1" customHeight="1" x14ac:dyDescent="0.25">
      <c r="A117" s="41"/>
      <c r="B117" s="41"/>
      <c r="C117" s="41"/>
      <c r="D117" s="41"/>
      <c r="E117" s="41"/>
      <c r="F117" s="41"/>
      <c r="G117" s="93" t="str">
        <f t="shared" si="1"/>
        <v>-</v>
      </c>
      <c r="H117" s="10" t="str">
        <f ca="1">IF(OR(A117="",B117=""),"",IF(EOMONTH(DATE(A117,MATCH(B117,{"Januar","Februar","März","April","Mai","Juni","Juli","August","September","Oktober","November","Dezember"},0),1),0)&lt;=TODAY()-Steuerung!$C$27,"Reif","Frisch"))</f>
        <v/>
      </c>
    </row>
    <row r="118" spans="1:8" ht="15" hidden="1" customHeight="1" x14ac:dyDescent="0.25">
      <c r="A118" s="37"/>
      <c r="B118" s="37"/>
      <c r="C118" s="37"/>
      <c r="D118" s="37"/>
      <c r="E118" s="37"/>
      <c r="F118" s="37"/>
      <c r="G118" s="91" t="str">
        <f t="shared" si="1"/>
        <v>-</v>
      </c>
      <c r="H118" s="14" t="str">
        <f ca="1">IF(OR(A118="",B118=""),"",IF(EOMONTH(DATE(A118,MATCH(B118,{"Januar","Februar","März","April","Mai","Juni","Juli","August","September","Oktober","November","Dezember"},0),1),0)&lt;=TODAY()-Steuerung!$C$27,"Reif","Frisch"))</f>
        <v/>
      </c>
    </row>
    <row r="119" spans="1:8" ht="15" hidden="1" customHeight="1" x14ac:dyDescent="0.25">
      <c r="A119" s="41"/>
      <c r="B119" s="41"/>
      <c r="C119" s="41"/>
      <c r="D119" s="41"/>
      <c r="E119" s="41"/>
      <c r="F119" s="41"/>
      <c r="G119" s="93" t="str">
        <f t="shared" si="1"/>
        <v>-</v>
      </c>
      <c r="H119" s="10" t="str">
        <f ca="1">IF(OR(A119="",B119=""),"",IF(EOMONTH(DATE(A119,MATCH(B119,{"Januar","Februar","März","April","Mai","Juni","Juli","August","September","Oktober","November","Dezember"},0),1),0)&lt;=TODAY()-Steuerung!$C$27,"Reif","Frisch"))</f>
        <v/>
      </c>
    </row>
    <row r="120" spans="1:8" ht="15" hidden="1" customHeight="1" x14ac:dyDescent="0.25">
      <c r="A120" s="37"/>
      <c r="B120" s="37"/>
      <c r="C120" s="37"/>
      <c r="D120" s="37"/>
      <c r="E120" s="37"/>
      <c r="F120" s="37"/>
      <c r="G120" s="91" t="str">
        <f t="shared" si="1"/>
        <v>-</v>
      </c>
      <c r="H120" s="14" t="str">
        <f ca="1">IF(OR(A120="",B120=""),"",IF(EOMONTH(DATE(A120,MATCH(B120,{"Januar","Februar","März","April","Mai","Juni","Juli","August","September","Oktober","November","Dezember"},0),1),0)&lt;=TODAY()-Steuerung!$C$27,"Reif","Frisch"))</f>
        <v/>
      </c>
    </row>
    <row r="121" spans="1:8" ht="15" hidden="1" customHeight="1" x14ac:dyDescent="0.25">
      <c r="A121" s="41"/>
      <c r="B121" s="41"/>
      <c r="C121" s="41"/>
      <c r="D121" s="41"/>
      <c r="E121" s="41"/>
      <c r="F121" s="41"/>
      <c r="G121" s="93" t="str">
        <f t="shared" si="1"/>
        <v>-</v>
      </c>
      <c r="H121" s="10" t="str">
        <f ca="1">IF(OR(A121="",B121=""),"",IF(EOMONTH(DATE(A121,MATCH(B121,{"Januar","Februar","März","April","Mai","Juni","Juli","August","September","Oktober","November","Dezember"},0),1),0)&lt;=TODAY()-Steuerung!$C$27,"Reif","Frisch"))</f>
        <v/>
      </c>
    </row>
    <row r="122" spans="1:8" ht="15" hidden="1" customHeight="1" x14ac:dyDescent="0.25">
      <c r="A122" s="37"/>
      <c r="B122" s="37"/>
      <c r="C122" s="37"/>
      <c r="D122" s="37"/>
      <c r="E122" s="37"/>
      <c r="F122" s="37"/>
      <c r="G122" s="91" t="str">
        <f t="shared" si="1"/>
        <v>-</v>
      </c>
      <c r="H122" s="14" t="str">
        <f ca="1">IF(OR(A122="",B122=""),"",IF(EOMONTH(DATE(A122,MATCH(B122,{"Januar","Februar","März","April","Mai","Juni","Juli","August","September","Oktober","November","Dezember"},0),1),0)&lt;=TODAY()-Steuerung!$C$27,"Reif","Frisch"))</f>
        <v/>
      </c>
    </row>
    <row r="123" spans="1:8" ht="15" hidden="1" customHeight="1" x14ac:dyDescent="0.25">
      <c r="A123" s="41"/>
      <c r="B123" s="41"/>
      <c r="C123" s="41"/>
      <c r="D123" s="41"/>
      <c r="E123" s="41"/>
      <c r="F123" s="41"/>
      <c r="G123" s="93" t="str">
        <f t="shared" si="1"/>
        <v>-</v>
      </c>
      <c r="H123" s="10" t="str">
        <f ca="1">IF(OR(A123="",B123=""),"",IF(EOMONTH(DATE(A123,MATCH(B123,{"Januar","Februar","März","April","Mai","Juni","Juli","August","September","Oktober","November","Dezember"},0),1),0)&lt;=TODAY()-Steuerung!$C$27,"Reif","Frisch"))</f>
        <v/>
      </c>
    </row>
    <row r="124" spans="1:8" ht="15" hidden="1" customHeight="1" x14ac:dyDescent="0.25">
      <c r="A124" s="37"/>
      <c r="B124" s="37"/>
      <c r="C124" s="37"/>
      <c r="D124" s="37"/>
      <c r="E124" s="37"/>
      <c r="F124" s="37"/>
      <c r="G124" s="91" t="str">
        <f t="shared" si="1"/>
        <v>-</v>
      </c>
      <c r="H124" s="14" t="str">
        <f ca="1">IF(OR(A124="",B124=""),"",IF(EOMONTH(DATE(A124,MATCH(B124,{"Januar","Februar","März","April","Mai","Juni","Juli","August","September","Oktober","November","Dezember"},0),1),0)&lt;=TODAY()-Steuerung!$C$27,"Reif","Frisch"))</f>
        <v/>
      </c>
    </row>
    <row r="125" spans="1:8" ht="15" hidden="1" customHeight="1" x14ac:dyDescent="0.25">
      <c r="A125" s="41"/>
      <c r="B125" s="41"/>
      <c r="C125" s="41"/>
      <c r="D125" s="41"/>
      <c r="E125" s="41"/>
      <c r="F125" s="41"/>
      <c r="G125" s="93" t="str">
        <f t="shared" si="1"/>
        <v>-</v>
      </c>
      <c r="H125" s="10" t="str">
        <f ca="1">IF(OR(A125="",B125=""),"",IF(EOMONTH(DATE(A125,MATCH(B125,{"Januar","Februar","März","April","Mai","Juni","Juli","August","September","Oktober","November","Dezember"},0),1),0)&lt;=TODAY()-Steuerung!$C$27,"Reif","Frisch"))</f>
        <v/>
      </c>
    </row>
    <row r="126" spans="1:8" ht="15" hidden="1" customHeight="1" x14ac:dyDescent="0.25">
      <c r="A126" s="37"/>
      <c r="B126" s="37"/>
      <c r="C126" s="37"/>
      <c r="D126" s="37"/>
      <c r="E126" s="37"/>
      <c r="F126" s="37"/>
      <c r="G126" s="91" t="str">
        <f t="shared" si="1"/>
        <v>-</v>
      </c>
      <c r="H126" s="14" t="str">
        <f ca="1">IF(OR(A126="",B126=""),"",IF(EOMONTH(DATE(A126,MATCH(B126,{"Januar","Februar","März","April","Mai","Juni","Juli","August","September","Oktober","November","Dezember"},0),1),0)&lt;=TODAY()-Steuerung!$C$27,"Reif","Frisch"))</f>
        <v/>
      </c>
    </row>
    <row r="127" spans="1:8" ht="15" hidden="1" customHeight="1" x14ac:dyDescent="0.25">
      <c r="A127" s="41"/>
      <c r="B127" s="41"/>
      <c r="C127" s="41"/>
      <c r="D127" s="41"/>
      <c r="E127" s="41"/>
      <c r="F127" s="41"/>
      <c r="G127" s="93" t="str">
        <f t="shared" si="1"/>
        <v>-</v>
      </c>
      <c r="H127" s="10" t="str">
        <f ca="1">IF(OR(A127="",B127=""),"",IF(EOMONTH(DATE(A127,MATCH(B127,{"Januar","Februar","März","April","Mai","Juni","Juli","August","September","Oktober","November","Dezember"},0),1),0)&lt;=TODAY()-Steuerung!$C$27,"Reif","Frisch"))</f>
        <v/>
      </c>
    </row>
    <row r="128" spans="1:8" ht="15" hidden="1" customHeight="1" x14ac:dyDescent="0.25">
      <c r="A128" s="37"/>
      <c r="B128" s="37"/>
      <c r="C128" s="37"/>
      <c r="D128" s="37"/>
      <c r="E128" s="37"/>
      <c r="F128" s="37"/>
      <c r="G128" s="91" t="str">
        <f t="shared" si="1"/>
        <v>-</v>
      </c>
      <c r="H128" s="14" t="str">
        <f ca="1">IF(OR(A128="",B128=""),"",IF(EOMONTH(DATE(A128,MATCH(B128,{"Januar","Februar","März","April","Mai","Juni","Juli","August","September","Oktober","November","Dezember"},0),1),0)&lt;=TODAY()-Steuerung!$C$27,"Reif","Frisch"))</f>
        <v/>
      </c>
    </row>
    <row r="129" spans="1:8" ht="15" hidden="1" customHeight="1" x14ac:dyDescent="0.25">
      <c r="A129" s="41"/>
      <c r="B129" s="41"/>
      <c r="C129" s="41"/>
      <c r="D129" s="41"/>
      <c r="E129" s="41"/>
      <c r="F129" s="41"/>
      <c r="G129" s="93" t="str">
        <f t="shared" si="1"/>
        <v>-</v>
      </c>
      <c r="H129" s="10" t="str">
        <f ca="1">IF(OR(A129="",B129=""),"",IF(EOMONTH(DATE(A129,MATCH(B129,{"Januar","Februar","März","April","Mai","Juni","Juli","August","September","Oktober","November","Dezember"},0),1),0)&lt;=TODAY()-Steuerung!$C$27,"Reif","Frisch"))</f>
        <v/>
      </c>
    </row>
    <row r="130" spans="1:8" ht="15" hidden="1" customHeight="1" x14ac:dyDescent="0.25">
      <c r="A130" s="37"/>
      <c r="B130" s="37"/>
      <c r="C130" s="37"/>
      <c r="D130" s="37"/>
      <c r="E130" s="37"/>
      <c r="F130" s="37"/>
      <c r="G130" s="91" t="str">
        <f t="shared" si="1"/>
        <v>-</v>
      </c>
      <c r="H130" s="14" t="str">
        <f ca="1">IF(OR(A130="",B130=""),"",IF(EOMONTH(DATE(A130,MATCH(B130,{"Januar","Februar","März","April","Mai","Juni","Juli","August","September","Oktober","November","Dezember"},0),1),0)&lt;=TODAY()-Steuerung!$C$27,"Reif","Frisch"))</f>
        <v/>
      </c>
    </row>
    <row r="131" spans="1:8" ht="15" hidden="1" customHeight="1" x14ac:dyDescent="0.25">
      <c r="A131" s="41"/>
      <c r="B131" s="41"/>
      <c r="C131" s="41"/>
      <c r="D131" s="41"/>
      <c r="E131" s="41"/>
      <c r="F131" s="41"/>
      <c r="G131" s="93" t="str">
        <f t="shared" si="1"/>
        <v>-</v>
      </c>
      <c r="H131" s="10" t="str">
        <f ca="1">IF(OR(A131="",B131=""),"",IF(EOMONTH(DATE(A131,MATCH(B131,{"Januar","Februar","März","April","Mai","Juni","Juli","August","September","Oktober","November","Dezember"},0),1),0)&lt;=TODAY()-Steuerung!$C$27,"Reif","Frisch"))</f>
        <v/>
      </c>
    </row>
    <row r="132" spans="1:8" ht="15" hidden="1" customHeight="1" x14ac:dyDescent="0.25">
      <c r="A132" s="37"/>
      <c r="B132" s="37"/>
      <c r="C132" s="37"/>
      <c r="D132" s="37"/>
      <c r="E132" s="37"/>
      <c r="F132" s="37"/>
      <c r="G132" s="91" t="str">
        <f t="shared" ref="G132:G195" si="2">IF(D132=0,"-",E132/D132)</f>
        <v>-</v>
      </c>
      <c r="H132" s="14" t="str">
        <f ca="1">IF(OR(A132="",B132=""),"",IF(EOMONTH(DATE(A132,MATCH(B132,{"Januar","Februar","März","April","Mai","Juni","Juli","August","September","Oktober","November","Dezember"},0),1),0)&lt;=TODAY()-Steuerung!$C$27,"Reif","Frisch"))</f>
        <v/>
      </c>
    </row>
    <row r="133" spans="1:8" ht="15" hidden="1" customHeight="1" x14ac:dyDescent="0.25">
      <c r="A133" s="41"/>
      <c r="B133" s="41"/>
      <c r="C133" s="41"/>
      <c r="D133" s="41"/>
      <c r="E133" s="41"/>
      <c r="F133" s="41"/>
      <c r="G133" s="93" t="str">
        <f t="shared" si="2"/>
        <v>-</v>
      </c>
      <c r="H133" s="10" t="str">
        <f ca="1">IF(OR(A133="",B133=""),"",IF(EOMONTH(DATE(A133,MATCH(B133,{"Januar","Februar","März","April","Mai","Juni","Juli","August","September","Oktober","November","Dezember"},0),1),0)&lt;=TODAY()-Steuerung!$C$27,"Reif","Frisch"))</f>
        <v/>
      </c>
    </row>
    <row r="134" spans="1:8" ht="15" hidden="1" customHeight="1" x14ac:dyDescent="0.25">
      <c r="A134" s="37"/>
      <c r="B134" s="37"/>
      <c r="C134" s="37"/>
      <c r="D134" s="37"/>
      <c r="E134" s="37"/>
      <c r="F134" s="37"/>
      <c r="G134" s="91" t="str">
        <f t="shared" si="2"/>
        <v>-</v>
      </c>
      <c r="H134" s="14" t="str">
        <f ca="1">IF(OR(A134="",B134=""),"",IF(EOMONTH(DATE(A134,MATCH(B134,{"Januar","Februar","März","April","Mai","Juni","Juli","August","September","Oktober","November","Dezember"},0),1),0)&lt;=TODAY()-Steuerung!$C$27,"Reif","Frisch"))</f>
        <v/>
      </c>
    </row>
    <row r="135" spans="1:8" ht="15" hidden="1" customHeight="1" x14ac:dyDescent="0.25">
      <c r="A135" s="41"/>
      <c r="B135" s="41"/>
      <c r="C135" s="41"/>
      <c r="D135" s="41"/>
      <c r="E135" s="41"/>
      <c r="F135" s="41"/>
      <c r="G135" s="93" t="str">
        <f t="shared" si="2"/>
        <v>-</v>
      </c>
      <c r="H135" s="10" t="str">
        <f ca="1">IF(OR(A135="",B135=""),"",IF(EOMONTH(DATE(A135,MATCH(B135,{"Januar","Februar","März","April","Mai","Juni","Juli","August","September","Oktober","November","Dezember"},0),1),0)&lt;=TODAY()-Steuerung!$C$27,"Reif","Frisch"))</f>
        <v/>
      </c>
    </row>
    <row r="136" spans="1:8" ht="15" hidden="1" customHeight="1" x14ac:dyDescent="0.25">
      <c r="A136" s="37"/>
      <c r="B136" s="37"/>
      <c r="C136" s="37"/>
      <c r="D136" s="37"/>
      <c r="E136" s="37"/>
      <c r="F136" s="37"/>
      <c r="G136" s="91" t="str">
        <f t="shared" si="2"/>
        <v>-</v>
      </c>
      <c r="H136" s="14" t="str">
        <f ca="1">IF(OR(A136="",B136=""),"",IF(EOMONTH(DATE(A136,MATCH(B136,{"Januar","Februar","März","April","Mai","Juni","Juli","August","September","Oktober","November","Dezember"},0),1),0)&lt;=TODAY()-Steuerung!$C$27,"Reif","Frisch"))</f>
        <v/>
      </c>
    </row>
    <row r="137" spans="1:8" ht="15" hidden="1" customHeight="1" x14ac:dyDescent="0.25">
      <c r="A137" s="41"/>
      <c r="B137" s="41"/>
      <c r="C137" s="41"/>
      <c r="D137" s="41"/>
      <c r="E137" s="41"/>
      <c r="F137" s="41"/>
      <c r="G137" s="93" t="str">
        <f t="shared" si="2"/>
        <v>-</v>
      </c>
      <c r="H137" s="10" t="str">
        <f ca="1">IF(OR(A137="",B137=""),"",IF(EOMONTH(DATE(A137,MATCH(B137,{"Januar","Februar","März","April","Mai","Juni","Juli","August","September","Oktober","November","Dezember"},0),1),0)&lt;=TODAY()-Steuerung!$C$27,"Reif","Frisch"))</f>
        <v/>
      </c>
    </row>
    <row r="138" spans="1:8" ht="15" hidden="1" customHeight="1" x14ac:dyDescent="0.25">
      <c r="A138" s="37"/>
      <c r="B138" s="37"/>
      <c r="C138" s="37"/>
      <c r="D138" s="37"/>
      <c r="E138" s="37"/>
      <c r="F138" s="37"/>
      <c r="G138" s="91" t="str">
        <f t="shared" si="2"/>
        <v>-</v>
      </c>
      <c r="H138" s="14" t="str">
        <f ca="1">IF(OR(A138="",B138=""),"",IF(EOMONTH(DATE(A138,MATCH(B138,{"Januar","Februar","März","April","Mai","Juni","Juli","August","September","Oktober","November","Dezember"},0),1),0)&lt;=TODAY()-Steuerung!$C$27,"Reif","Frisch"))</f>
        <v/>
      </c>
    </row>
    <row r="139" spans="1:8" ht="15" hidden="1" customHeight="1" x14ac:dyDescent="0.25">
      <c r="A139" s="41"/>
      <c r="B139" s="41"/>
      <c r="C139" s="41"/>
      <c r="D139" s="41"/>
      <c r="E139" s="41"/>
      <c r="F139" s="41"/>
      <c r="G139" s="93" t="str">
        <f t="shared" si="2"/>
        <v>-</v>
      </c>
      <c r="H139" s="10" t="str">
        <f ca="1">IF(OR(A139="",B139=""),"",IF(EOMONTH(DATE(A139,MATCH(B139,{"Januar","Februar","März","April","Mai","Juni","Juli","August","September","Oktober","November","Dezember"},0),1),0)&lt;=TODAY()-Steuerung!$C$27,"Reif","Frisch"))</f>
        <v/>
      </c>
    </row>
    <row r="140" spans="1:8" ht="15" hidden="1" customHeight="1" x14ac:dyDescent="0.25">
      <c r="A140" s="37"/>
      <c r="B140" s="37"/>
      <c r="C140" s="37"/>
      <c r="D140" s="37"/>
      <c r="E140" s="37"/>
      <c r="F140" s="37"/>
      <c r="G140" s="91" t="str">
        <f t="shared" si="2"/>
        <v>-</v>
      </c>
      <c r="H140" s="14" t="str">
        <f ca="1">IF(OR(A140="",B140=""),"",IF(EOMONTH(DATE(A140,MATCH(B140,{"Januar","Februar","März","April","Mai","Juni","Juli","August","September","Oktober","November","Dezember"},0),1),0)&lt;=TODAY()-Steuerung!$C$27,"Reif","Frisch"))</f>
        <v/>
      </c>
    </row>
    <row r="141" spans="1:8" ht="15" hidden="1" customHeight="1" x14ac:dyDescent="0.25">
      <c r="A141" s="41"/>
      <c r="B141" s="41"/>
      <c r="C141" s="41"/>
      <c r="D141" s="41"/>
      <c r="E141" s="41"/>
      <c r="F141" s="41"/>
      <c r="G141" s="93" t="str">
        <f t="shared" si="2"/>
        <v>-</v>
      </c>
      <c r="H141" s="10" t="str">
        <f ca="1">IF(OR(A141="",B141=""),"",IF(EOMONTH(DATE(A141,MATCH(B141,{"Januar","Februar","März","April","Mai","Juni","Juli","August","September","Oktober","November","Dezember"},0),1),0)&lt;=TODAY()-Steuerung!$C$27,"Reif","Frisch"))</f>
        <v/>
      </c>
    </row>
    <row r="142" spans="1:8" ht="15" hidden="1" customHeight="1" x14ac:dyDescent="0.25">
      <c r="A142" s="37"/>
      <c r="B142" s="37"/>
      <c r="C142" s="37"/>
      <c r="D142" s="37"/>
      <c r="E142" s="37"/>
      <c r="F142" s="37"/>
      <c r="G142" s="91" t="str">
        <f t="shared" si="2"/>
        <v>-</v>
      </c>
      <c r="H142" s="14" t="str">
        <f ca="1">IF(OR(A142="",B142=""),"",IF(EOMONTH(DATE(A142,MATCH(B142,{"Januar","Februar","März","April","Mai","Juni","Juli","August","September","Oktober","November","Dezember"},0),1),0)&lt;=TODAY()-Steuerung!$C$27,"Reif","Frisch"))</f>
        <v/>
      </c>
    </row>
    <row r="143" spans="1:8" ht="15" hidden="1" customHeight="1" x14ac:dyDescent="0.25">
      <c r="A143" s="41"/>
      <c r="B143" s="41"/>
      <c r="C143" s="41"/>
      <c r="D143" s="41"/>
      <c r="E143" s="41"/>
      <c r="F143" s="41"/>
      <c r="G143" s="93" t="str">
        <f t="shared" si="2"/>
        <v>-</v>
      </c>
      <c r="H143" s="10" t="str">
        <f ca="1">IF(OR(A143="",B143=""),"",IF(EOMONTH(DATE(A143,MATCH(B143,{"Januar","Februar","März","April","Mai","Juni","Juli","August","September","Oktober","November","Dezember"},0),1),0)&lt;=TODAY()-Steuerung!$C$27,"Reif","Frisch"))</f>
        <v/>
      </c>
    </row>
    <row r="144" spans="1:8" ht="15" hidden="1" customHeight="1" x14ac:dyDescent="0.25">
      <c r="A144" s="37"/>
      <c r="B144" s="37"/>
      <c r="C144" s="37"/>
      <c r="D144" s="37"/>
      <c r="E144" s="37"/>
      <c r="F144" s="37"/>
      <c r="G144" s="91" t="str">
        <f t="shared" si="2"/>
        <v>-</v>
      </c>
      <c r="H144" s="14" t="str">
        <f ca="1">IF(OR(A144="",B144=""),"",IF(EOMONTH(DATE(A144,MATCH(B144,{"Januar","Februar","März","April","Mai","Juni","Juli","August","September","Oktober","November","Dezember"},0),1),0)&lt;=TODAY()-Steuerung!$C$27,"Reif","Frisch"))</f>
        <v/>
      </c>
    </row>
    <row r="145" spans="1:8" ht="15" hidden="1" customHeight="1" x14ac:dyDescent="0.25">
      <c r="A145" s="41"/>
      <c r="B145" s="41"/>
      <c r="C145" s="41"/>
      <c r="D145" s="41"/>
      <c r="E145" s="41"/>
      <c r="F145" s="41"/>
      <c r="G145" s="93" t="str">
        <f t="shared" si="2"/>
        <v>-</v>
      </c>
      <c r="H145" s="10" t="str">
        <f ca="1">IF(OR(A145="",B145=""),"",IF(EOMONTH(DATE(A145,MATCH(B145,{"Januar","Februar","März","April","Mai","Juni","Juli","August","September","Oktober","November","Dezember"},0),1),0)&lt;=TODAY()-Steuerung!$C$27,"Reif","Frisch"))</f>
        <v/>
      </c>
    </row>
    <row r="146" spans="1:8" ht="15" hidden="1" customHeight="1" x14ac:dyDescent="0.25">
      <c r="A146" s="37"/>
      <c r="B146" s="37"/>
      <c r="C146" s="37"/>
      <c r="D146" s="37"/>
      <c r="E146" s="37"/>
      <c r="F146" s="37"/>
      <c r="G146" s="91" t="str">
        <f t="shared" si="2"/>
        <v>-</v>
      </c>
      <c r="H146" s="14" t="str">
        <f ca="1">IF(OR(A146="",B146=""),"",IF(EOMONTH(DATE(A146,MATCH(B146,{"Januar","Februar","März","April","Mai","Juni","Juli","August","September","Oktober","November","Dezember"},0),1),0)&lt;=TODAY()-Steuerung!$C$27,"Reif","Frisch"))</f>
        <v/>
      </c>
    </row>
    <row r="147" spans="1:8" ht="15" hidden="1" customHeight="1" x14ac:dyDescent="0.25">
      <c r="A147" s="41"/>
      <c r="B147" s="41"/>
      <c r="C147" s="41"/>
      <c r="D147" s="41"/>
      <c r="E147" s="41"/>
      <c r="F147" s="41"/>
      <c r="G147" s="93" t="str">
        <f t="shared" si="2"/>
        <v>-</v>
      </c>
      <c r="H147" s="10" t="str">
        <f ca="1">IF(OR(A147="",B147=""),"",IF(EOMONTH(DATE(A147,MATCH(B147,{"Januar","Februar","März","April","Mai","Juni","Juli","August","September","Oktober","November","Dezember"},0),1),0)&lt;=TODAY()-Steuerung!$C$27,"Reif","Frisch"))</f>
        <v/>
      </c>
    </row>
    <row r="148" spans="1:8" ht="15" hidden="1" customHeight="1" x14ac:dyDescent="0.25">
      <c r="A148" s="37"/>
      <c r="B148" s="37"/>
      <c r="C148" s="37"/>
      <c r="D148" s="37"/>
      <c r="E148" s="37"/>
      <c r="F148" s="37"/>
      <c r="G148" s="91" t="str">
        <f t="shared" si="2"/>
        <v>-</v>
      </c>
      <c r="H148" s="14" t="str">
        <f ca="1">IF(OR(A148="",B148=""),"",IF(EOMONTH(DATE(A148,MATCH(B148,{"Januar","Februar","März","April","Mai","Juni","Juli","August","September","Oktober","November","Dezember"},0),1),0)&lt;=TODAY()-Steuerung!$C$27,"Reif","Frisch"))</f>
        <v/>
      </c>
    </row>
    <row r="149" spans="1:8" ht="15" hidden="1" customHeight="1" x14ac:dyDescent="0.25">
      <c r="A149" s="41"/>
      <c r="B149" s="41"/>
      <c r="C149" s="41"/>
      <c r="D149" s="41"/>
      <c r="E149" s="41"/>
      <c r="F149" s="41"/>
      <c r="G149" s="93" t="str">
        <f t="shared" si="2"/>
        <v>-</v>
      </c>
      <c r="H149" s="10" t="str">
        <f ca="1">IF(OR(A149="",B149=""),"",IF(EOMONTH(DATE(A149,MATCH(B149,{"Januar","Februar","März","April","Mai","Juni","Juli","August","September","Oktober","November","Dezember"},0),1),0)&lt;=TODAY()-Steuerung!$C$27,"Reif","Frisch"))</f>
        <v/>
      </c>
    </row>
    <row r="150" spans="1:8" ht="15" hidden="1" customHeight="1" x14ac:dyDescent="0.25">
      <c r="A150" s="37"/>
      <c r="B150" s="37"/>
      <c r="C150" s="37"/>
      <c r="D150" s="37"/>
      <c r="E150" s="37"/>
      <c r="F150" s="37"/>
      <c r="G150" s="91" t="str">
        <f t="shared" si="2"/>
        <v>-</v>
      </c>
      <c r="H150" s="14" t="str">
        <f ca="1">IF(OR(A150="",B150=""),"",IF(EOMONTH(DATE(A150,MATCH(B150,{"Januar","Februar","März","April","Mai","Juni","Juli","August","September","Oktober","November","Dezember"},0),1),0)&lt;=TODAY()-Steuerung!$C$27,"Reif","Frisch"))</f>
        <v/>
      </c>
    </row>
    <row r="151" spans="1:8" ht="15" hidden="1" customHeight="1" x14ac:dyDescent="0.25">
      <c r="A151" s="41"/>
      <c r="B151" s="41"/>
      <c r="C151" s="41"/>
      <c r="D151" s="41"/>
      <c r="E151" s="41"/>
      <c r="F151" s="41"/>
      <c r="G151" s="93" t="str">
        <f t="shared" si="2"/>
        <v>-</v>
      </c>
      <c r="H151" s="10" t="str">
        <f ca="1">IF(OR(A151="",B151=""),"",IF(EOMONTH(DATE(A151,MATCH(B151,{"Januar","Februar","März","April","Mai","Juni","Juli","August","September","Oktober","November","Dezember"},0),1),0)&lt;=TODAY()-Steuerung!$C$27,"Reif","Frisch"))</f>
        <v/>
      </c>
    </row>
    <row r="152" spans="1:8" ht="15" hidden="1" customHeight="1" x14ac:dyDescent="0.25">
      <c r="A152" s="37"/>
      <c r="B152" s="37"/>
      <c r="C152" s="37"/>
      <c r="D152" s="37"/>
      <c r="E152" s="37"/>
      <c r="F152" s="37"/>
      <c r="G152" s="91" t="str">
        <f t="shared" si="2"/>
        <v>-</v>
      </c>
      <c r="H152" s="14" t="str">
        <f ca="1">IF(OR(A152="",B152=""),"",IF(EOMONTH(DATE(A152,MATCH(B152,{"Januar","Februar","März","April","Mai","Juni","Juli","August","September","Oktober","November","Dezember"},0),1),0)&lt;=TODAY()-Steuerung!$C$27,"Reif","Frisch"))</f>
        <v/>
      </c>
    </row>
    <row r="153" spans="1:8" ht="15" hidden="1" customHeight="1" x14ac:dyDescent="0.25">
      <c r="A153" s="41"/>
      <c r="B153" s="41"/>
      <c r="C153" s="41"/>
      <c r="D153" s="41"/>
      <c r="E153" s="41"/>
      <c r="F153" s="41"/>
      <c r="G153" s="93" t="str">
        <f t="shared" si="2"/>
        <v>-</v>
      </c>
      <c r="H153" s="10" t="str">
        <f ca="1">IF(OR(A153="",B153=""),"",IF(EOMONTH(DATE(A153,MATCH(B153,{"Januar","Februar","März","April","Mai","Juni","Juli","August","September","Oktober","November","Dezember"},0),1),0)&lt;=TODAY()-Steuerung!$C$27,"Reif","Frisch"))</f>
        <v/>
      </c>
    </row>
    <row r="154" spans="1:8" ht="15" hidden="1" customHeight="1" x14ac:dyDescent="0.25">
      <c r="A154" s="37"/>
      <c r="B154" s="37"/>
      <c r="C154" s="37"/>
      <c r="D154" s="37"/>
      <c r="E154" s="37"/>
      <c r="F154" s="37"/>
      <c r="G154" s="91" t="str">
        <f t="shared" si="2"/>
        <v>-</v>
      </c>
      <c r="H154" s="14" t="str">
        <f ca="1">IF(OR(A154="",B154=""),"",IF(EOMONTH(DATE(A154,MATCH(B154,{"Januar","Februar","März","April","Mai","Juni","Juli","August","September","Oktober","November","Dezember"},0),1),0)&lt;=TODAY()-Steuerung!$C$27,"Reif","Frisch"))</f>
        <v/>
      </c>
    </row>
    <row r="155" spans="1:8" ht="15" hidden="1" customHeight="1" x14ac:dyDescent="0.25">
      <c r="A155" s="41"/>
      <c r="B155" s="41"/>
      <c r="C155" s="41"/>
      <c r="D155" s="41"/>
      <c r="E155" s="41"/>
      <c r="F155" s="41"/>
      <c r="G155" s="93" t="str">
        <f t="shared" si="2"/>
        <v>-</v>
      </c>
      <c r="H155" s="10" t="str">
        <f ca="1">IF(OR(A155="",B155=""),"",IF(EOMONTH(DATE(A155,MATCH(B155,{"Januar","Februar","März","April","Mai","Juni","Juli","August","September","Oktober","November","Dezember"},0),1),0)&lt;=TODAY()-Steuerung!$C$27,"Reif","Frisch"))</f>
        <v/>
      </c>
    </row>
    <row r="156" spans="1:8" ht="15" hidden="1" customHeight="1" x14ac:dyDescent="0.25">
      <c r="A156" s="37"/>
      <c r="B156" s="37"/>
      <c r="C156" s="37"/>
      <c r="D156" s="37"/>
      <c r="E156" s="37"/>
      <c r="F156" s="37"/>
      <c r="G156" s="91" t="str">
        <f t="shared" si="2"/>
        <v>-</v>
      </c>
      <c r="H156" s="14" t="str">
        <f ca="1">IF(OR(A156="",B156=""),"",IF(EOMONTH(DATE(A156,MATCH(B156,{"Januar","Februar","März","April","Mai","Juni","Juli","August","September","Oktober","November","Dezember"},0),1),0)&lt;=TODAY()-Steuerung!$C$27,"Reif","Frisch"))</f>
        <v/>
      </c>
    </row>
    <row r="157" spans="1:8" ht="15" hidden="1" customHeight="1" x14ac:dyDescent="0.25">
      <c r="A157" s="41"/>
      <c r="B157" s="41"/>
      <c r="C157" s="41"/>
      <c r="D157" s="41"/>
      <c r="E157" s="41"/>
      <c r="F157" s="41"/>
      <c r="G157" s="93" t="str">
        <f t="shared" si="2"/>
        <v>-</v>
      </c>
      <c r="H157" s="10" t="str">
        <f ca="1">IF(OR(A157="",B157=""),"",IF(EOMONTH(DATE(A157,MATCH(B157,{"Januar","Februar","März","April","Mai","Juni","Juli","August","September","Oktober","November","Dezember"},0),1),0)&lt;=TODAY()-Steuerung!$C$27,"Reif","Frisch"))</f>
        <v/>
      </c>
    </row>
    <row r="158" spans="1:8" ht="15" hidden="1" customHeight="1" x14ac:dyDescent="0.25">
      <c r="A158" s="37"/>
      <c r="B158" s="37"/>
      <c r="C158" s="37"/>
      <c r="D158" s="37"/>
      <c r="E158" s="37"/>
      <c r="F158" s="37"/>
      <c r="G158" s="91" t="str">
        <f t="shared" si="2"/>
        <v>-</v>
      </c>
      <c r="H158" s="14" t="str">
        <f ca="1">IF(OR(A158="",B158=""),"",IF(EOMONTH(DATE(A158,MATCH(B158,{"Januar","Februar","März","April","Mai","Juni","Juli","August","September","Oktober","November","Dezember"},0),1),0)&lt;=TODAY()-Steuerung!$C$27,"Reif","Frisch"))</f>
        <v/>
      </c>
    </row>
    <row r="159" spans="1:8" ht="15" hidden="1" customHeight="1" x14ac:dyDescent="0.25">
      <c r="A159" s="41"/>
      <c r="B159" s="41"/>
      <c r="C159" s="41"/>
      <c r="D159" s="41"/>
      <c r="E159" s="41"/>
      <c r="F159" s="41"/>
      <c r="G159" s="93" t="str">
        <f t="shared" si="2"/>
        <v>-</v>
      </c>
      <c r="H159" s="10" t="str">
        <f ca="1">IF(OR(A159="",B159=""),"",IF(EOMONTH(DATE(A159,MATCH(B159,{"Januar","Februar","März","April","Mai","Juni","Juli","August","September","Oktober","November","Dezember"},0),1),0)&lt;=TODAY()-Steuerung!$C$27,"Reif","Frisch"))</f>
        <v/>
      </c>
    </row>
    <row r="160" spans="1:8" ht="15" hidden="1" customHeight="1" x14ac:dyDescent="0.25">
      <c r="A160" s="37"/>
      <c r="B160" s="37"/>
      <c r="C160" s="37"/>
      <c r="D160" s="37"/>
      <c r="E160" s="37"/>
      <c r="F160" s="37"/>
      <c r="G160" s="91" t="str">
        <f t="shared" si="2"/>
        <v>-</v>
      </c>
      <c r="H160" s="14" t="str">
        <f ca="1">IF(OR(A160="",B160=""),"",IF(EOMONTH(DATE(A160,MATCH(B160,{"Januar","Februar","März","April","Mai","Juni","Juli","August","September","Oktober","November","Dezember"},0),1),0)&lt;=TODAY()-Steuerung!$C$27,"Reif","Frisch"))</f>
        <v/>
      </c>
    </row>
    <row r="161" spans="1:8" ht="15" hidden="1" customHeight="1" x14ac:dyDescent="0.25">
      <c r="A161" s="41"/>
      <c r="B161" s="41"/>
      <c r="C161" s="41"/>
      <c r="D161" s="41"/>
      <c r="E161" s="41"/>
      <c r="F161" s="41"/>
      <c r="G161" s="93" t="str">
        <f t="shared" si="2"/>
        <v>-</v>
      </c>
      <c r="H161" s="10" t="str">
        <f ca="1">IF(OR(A161="",B161=""),"",IF(EOMONTH(DATE(A161,MATCH(B161,{"Januar","Februar","März","April","Mai","Juni","Juli","August","September","Oktober","November","Dezember"},0),1),0)&lt;=TODAY()-Steuerung!$C$27,"Reif","Frisch"))</f>
        <v/>
      </c>
    </row>
    <row r="162" spans="1:8" ht="15" hidden="1" customHeight="1" x14ac:dyDescent="0.25">
      <c r="A162" s="37"/>
      <c r="B162" s="37"/>
      <c r="C162" s="37"/>
      <c r="D162" s="37"/>
      <c r="E162" s="37"/>
      <c r="F162" s="37"/>
      <c r="G162" s="91" t="str">
        <f t="shared" si="2"/>
        <v>-</v>
      </c>
      <c r="H162" s="14" t="str">
        <f ca="1">IF(OR(A162="",B162=""),"",IF(EOMONTH(DATE(A162,MATCH(B162,{"Januar","Februar","März","April","Mai","Juni","Juli","August","September","Oktober","November","Dezember"},0),1),0)&lt;=TODAY()-Steuerung!$C$27,"Reif","Frisch"))</f>
        <v/>
      </c>
    </row>
    <row r="163" spans="1:8" ht="15" hidden="1" customHeight="1" x14ac:dyDescent="0.25">
      <c r="A163" s="41"/>
      <c r="B163" s="41"/>
      <c r="C163" s="41"/>
      <c r="D163" s="41"/>
      <c r="E163" s="41"/>
      <c r="F163" s="41"/>
      <c r="G163" s="93" t="str">
        <f t="shared" si="2"/>
        <v>-</v>
      </c>
      <c r="H163" s="10" t="str">
        <f ca="1">IF(OR(A163="",B163=""),"",IF(EOMONTH(DATE(A163,MATCH(B163,{"Januar","Februar","März","April","Mai","Juni","Juli","August","September","Oktober","November","Dezember"},0),1),0)&lt;=TODAY()-Steuerung!$C$27,"Reif","Frisch"))</f>
        <v/>
      </c>
    </row>
    <row r="164" spans="1:8" ht="15" hidden="1" customHeight="1" x14ac:dyDescent="0.25">
      <c r="A164" s="37"/>
      <c r="B164" s="37"/>
      <c r="C164" s="37"/>
      <c r="D164" s="37"/>
      <c r="E164" s="37"/>
      <c r="F164" s="37"/>
      <c r="G164" s="91" t="str">
        <f t="shared" si="2"/>
        <v>-</v>
      </c>
      <c r="H164" s="14" t="str">
        <f ca="1">IF(OR(A164="",B164=""),"",IF(EOMONTH(DATE(A164,MATCH(B164,{"Januar","Februar","März","April","Mai","Juni","Juli","August","September","Oktober","November","Dezember"},0),1),0)&lt;=TODAY()-Steuerung!$C$27,"Reif","Frisch"))</f>
        <v/>
      </c>
    </row>
    <row r="165" spans="1:8" ht="15" hidden="1" customHeight="1" x14ac:dyDescent="0.25">
      <c r="A165" s="41"/>
      <c r="B165" s="41"/>
      <c r="C165" s="41"/>
      <c r="D165" s="41"/>
      <c r="E165" s="41"/>
      <c r="F165" s="41"/>
      <c r="G165" s="93" t="str">
        <f t="shared" si="2"/>
        <v>-</v>
      </c>
      <c r="H165" s="10" t="str">
        <f ca="1">IF(OR(A165="",B165=""),"",IF(EOMONTH(DATE(A165,MATCH(B165,{"Januar","Februar","März","April","Mai","Juni","Juli","August","September","Oktober","November","Dezember"},0),1),0)&lt;=TODAY()-Steuerung!$C$27,"Reif","Frisch"))</f>
        <v/>
      </c>
    </row>
    <row r="166" spans="1:8" ht="15" hidden="1" customHeight="1" x14ac:dyDescent="0.25">
      <c r="A166" s="37"/>
      <c r="B166" s="37"/>
      <c r="C166" s="37"/>
      <c r="D166" s="37"/>
      <c r="E166" s="37"/>
      <c r="F166" s="37"/>
      <c r="G166" s="91" t="str">
        <f t="shared" si="2"/>
        <v>-</v>
      </c>
      <c r="H166" s="14" t="str">
        <f ca="1">IF(OR(A166="",B166=""),"",IF(EOMONTH(DATE(A166,MATCH(B166,{"Januar","Februar","März","April","Mai","Juni","Juli","August","September","Oktober","November","Dezember"},0),1),0)&lt;=TODAY()-Steuerung!$C$27,"Reif","Frisch"))</f>
        <v/>
      </c>
    </row>
    <row r="167" spans="1:8" ht="15" hidden="1" customHeight="1" x14ac:dyDescent="0.25">
      <c r="A167" s="41"/>
      <c r="B167" s="41"/>
      <c r="C167" s="41"/>
      <c r="D167" s="41"/>
      <c r="E167" s="41"/>
      <c r="F167" s="41"/>
      <c r="G167" s="93" t="str">
        <f t="shared" si="2"/>
        <v>-</v>
      </c>
      <c r="H167" s="10" t="str">
        <f ca="1">IF(OR(A167="",B167=""),"",IF(EOMONTH(DATE(A167,MATCH(B167,{"Januar","Februar","März","April","Mai","Juni","Juli","August","September","Oktober","November","Dezember"},0),1),0)&lt;=TODAY()-Steuerung!$C$27,"Reif","Frisch"))</f>
        <v/>
      </c>
    </row>
    <row r="168" spans="1:8" ht="15" hidden="1" customHeight="1" x14ac:dyDescent="0.25">
      <c r="A168" s="37"/>
      <c r="B168" s="37"/>
      <c r="C168" s="37"/>
      <c r="D168" s="37"/>
      <c r="E168" s="37"/>
      <c r="F168" s="37"/>
      <c r="G168" s="91" t="str">
        <f t="shared" si="2"/>
        <v>-</v>
      </c>
      <c r="H168" s="14" t="str">
        <f ca="1">IF(OR(A168="",B168=""),"",IF(EOMONTH(DATE(A168,MATCH(B168,{"Januar","Februar","März","April","Mai","Juni","Juli","August","September","Oktober","November","Dezember"},0),1),0)&lt;=TODAY()-Steuerung!$C$27,"Reif","Frisch"))</f>
        <v/>
      </c>
    </row>
    <row r="169" spans="1:8" ht="15" hidden="1" customHeight="1" x14ac:dyDescent="0.25">
      <c r="A169" s="41"/>
      <c r="B169" s="41"/>
      <c r="C169" s="41"/>
      <c r="D169" s="41"/>
      <c r="E169" s="41"/>
      <c r="F169" s="41"/>
      <c r="G169" s="93" t="str">
        <f t="shared" si="2"/>
        <v>-</v>
      </c>
      <c r="H169" s="10" t="str">
        <f ca="1">IF(OR(A169="",B169=""),"",IF(EOMONTH(DATE(A169,MATCH(B169,{"Januar","Februar","März","April","Mai","Juni","Juli","August","September","Oktober","November","Dezember"},0),1),0)&lt;=TODAY()-Steuerung!$C$27,"Reif","Frisch"))</f>
        <v/>
      </c>
    </row>
    <row r="170" spans="1:8" ht="15" hidden="1" customHeight="1" x14ac:dyDescent="0.25">
      <c r="A170" s="37"/>
      <c r="B170" s="37"/>
      <c r="C170" s="37"/>
      <c r="D170" s="37"/>
      <c r="E170" s="37"/>
      <c r="F170" s="37"/>
      <c r="G170" s="91" t="str">
        <f t="shared" si="2"/>
        <v>-</v>
      </c>
      <c r="H170" s="14" t="str">
        <f ca="1">IF(OR(A170="",B170=""),"",IF(EOMONTH(DATE(A170,MATCH(B170,{"Januar","Februar","März","April","Mai","Juni","Juli","August","September","Oktober","November","Dezember"},0),1),0)&lt;=TODAY()-Steuerung!$C$27,"Reif","Frisch"))</f>
        <v/>
      </c>
    </row>
    <row r="171" spans="1:8" ht="15" hidden="1" customHeight="1" x14ac:dyDescent="0.25">
      <c r="A171" s="41"/>
      <c r="B171" s="41"/>
      <c r="C171" s="41"/>
      <c r="D171" s="41"/>
      <c r="E171" s="41"/>
      <c r="F171" s="41"/>
      <c r="G171" s="93" t="str">
        <f t="shared" si="2"/>
        <v>-</v>
      </c>
      <c r="H171" s="10" t="str">
        <f ca="1">IF(OR(A171="",B171=""),"",IF(EOMONTH(DATE(A171,MATCH(B171,{"Januar","Februar","März","April","Mai","Juni","Juli","August","September","Oktober","November","Dezember"},0),1),0)&lt;=TODAY()-Steuerung!$C$27,"Reif","Frisch"))</f>
        <v/>
      </c>
    </row>
    <row r="172" spans="1:8" ht="15" hidden="1" customHeight="1" x14ac:dyDescent="0.25">
      <c r="A172" s="37"/>
      <c r="B172" s="37"/>
      <c r="C172" s="37"/>
      <c r="D172" s="37"/>
      <c r="E172" s="37"/>
      <c r="F172" s="37"/>
      <c r="G172" s="91" t="str">
        <f t="shared" si="2"/>
        <v>-</v>
      </c>
      <c r="H172" s="14" t="str">
        <f ca="1">IF(OR(A172="",B172=""),"",IF(EOMONTH(DATE(A172,MATCH(B172,{"Januar","Februar","März","April","Mai","Juni","Juli","August","September","Oktober","November","Dezember"},0),1),0)&lt;=TODAY()-Steuerung!$C$27,"Reif","Frisch"))</f>
        <v/>
      </c>
    </row>
    <row r="173" spans="1:8" ht="15" hidden="1" customHeight="1" x14ac:dyDescent="0.25">
      <c r="A173" s="41"/>
      <c r="B173" s="41"/>
      <c r="C173" s="41"/>
      <c r="D173" s="41"/>
      <c r="E173" s="41"/>
      <c r="F173" s="41"/>
      <c r="G173" s="93" t="str">
        <f t="shared" si="2"/>
        <v>-</v>
      </c>
      <c r="H173" s="10" t="str">
        <f ca="1">IF(OR(A173="",B173=""),"",IF(EOMONTH(DATE(A173,MATCH(B173,{"Januar","Februar","März","April","Mai","Juni","Juli","August","September","Oktober","November","Dezember"},0),1),0)&lt;=TODAY()-Steuerung!$C$27,"Reif","Frisch"))</f>
        <v/>
      </c>
    </row>
    <row r="174" spans="1:8" ht="15" hidden="1" customHeight="1" x14ac:dyDescent="0.25">
      <c r="A174" s="37"/>
      <c r="B174" s="37"/>
      <c r="C174" s="37"/>
      <c r="D174" s="37"/>
      <c r="E174" s="37"/>
      <c r="F174" s="37"/>
      <c r="G174" s="91" t="str">
        <f t="shared" si="2"/>
        <v>-</v>
      </c>
      <c r="H174" s="14" t="str">
        <f ca="1">IF(OR(A174="",B174=""),"",IF(EOMONTH(DATE(A174,MATCH(B174,{"Januar","Februar","März","April","Mai","Juni","Juli","August","September","Oktober","November","Dezember"},0),1),0)&lt;=TODAY()-Steuerung!$C$27,"Reif","Frisch"))</f>
        <v/>
      </c>
    </row>
    <row r="175" spans="1:8" ht="15" hidden="1" customHeight="1" x14ac:dyDescent="0.25">
      <c r="A175" s="41"/>
      <c r="B175" s="41"/>
      <c r="C175" s="41"/>
      <c r="D175" s="41"/>
      <c r="E175" s="41"/>
      <c r="F175" s="41"/>
      <c r="G175" s="93" t="str">
        <f t="shared" si="2"/>
        <v>-</v>
      </c>
      <c r="H175" s="10" t="str">
        <f ca="1">IF(OR(A175="",B175=""),"",IF(EOMONTH(DATE(A175,MATCH(B175,{"Januar","Februar","März","April","Mai","Juni","Juli","August","September","Oktober","November","Dezember"},0),1),0)&lt;=TODAY()-Steuerung!$C$27,"Reif","Frisch"))</f>
        <v/>
      </c>
    </row>
    <row r="176" spans="1:8" ht="15" hidden="1" customHeight="1" x14ac:dyDescent="0.25">
      <c r="A176" s="37"/>
      <c r="B176" s="37"/>
      <c r="C176" s="37"/>
      <c r="D176" s="37"/>
      <c r="E176" s="37"/>
      <c r="F176" s="37"/>
      <c r="G176" s="91" t="str">
        <f t="shared" si="2"/>
        <v>-</v>
      </c>
      <c r="H176" s="14" t="str">
        <f ca="1">IF(OR(A176="",B176=""),"",IF(EOMONTH(DATE(A176,MATCH(B176,{"Januar","Februar","März","April","Mai","Juni","Juli","August","September","Oktober","November","Dezember"},0),1),0)&lt;=TODAY()-Steuerung!$C$27,"Reif","Frisch"))</f>
        <v/>
      </c>
    </row>
    <row r="177" spans="1:8" ht="15" hidden="1" customHeight="1" x14ac:dyDescent="0.25">
      <c r="A177" s="41"/>
      <c r="B177" s="41"/>
      <c r="C177" s="41"/>
      <c r="D177" s="41"/>
      <c r="E177" s="41"/>
      <c r="F177" s="41"/>
      <c r="G177" s="93" t="str">
        <f t="shared" si="2"/>
        <v>-</v>
      </c>
      <c r="H177" s="10" t="str">
        <f ca="1">IF(OR(A177="",B177=""),"",IF(EOMONTH(DATE(A177,MATCH(B177,{"Januar","Februar","März","April","Mai","Juni","Juli","August","September","Oktober","November","Dezember"},0),1),0)&lt;=TODAY()-Steuerung!$C$27,"Reif","Frisch"))</f>
        <v/>
      </c>
    </row>
    <row r="178" spans="1:8" ht="15" hidden="1" customHeight="1" x14ac:dyDescent="0.25">
      <c r="A178" s="37"/>
      <c r="B178" s="37"/>
      <c r="C178" s="37"/>
      <c r="D178" s="37"/>
      <c r="E178" s="37"/>
      <c r="F178" s="37"/>
      <c r="G178" s="91" t="str">
        <f t="shared" si="2"/>
        <v>-</v>
      </c>
      <c r="H178" s="14" t="str">
        <f ca="1">IF(OR(A178="",B178=""),"",IF(EOMONTH(DATE(A178,MATCH(B178,{"Januar","Februar","März","April","Mai","Juni","Juli","August","September","Oktober","November","Dezember"},0),1),0)&lt;=TODAY()-Steuerung!$C$27,"Reif","Frisch"))</f>
        <v/>
      </c>
    </row>
    <row r="179" spans="1:8" ht="15" hidden="1" customHeight="1" x14ac:dyDescent="0.25">
      <c r="A179" s="41"/>
      <c r="B179" s="41"/>
      <c r="C179" s="41"/>
      <c r="D179" s="41"/>
      <c r="E179" s="41"/>
      <c r="F179" s="41"/>
      <c r="G179" s="93" t="str">
        <f t="shared" si="2"/>
        <v>-</v>
      </c>
      <c r="H179" s="10" t="str">
        <f ca="1">IF(OR(A179="",B179=""),"",IF(EOMONTH(DATE(A179,MATCH(B179,{"Januar","Februar","März","April","Mai","Juni","Juli","August","September","Oktober","November","Dezember"},0),1),0)&lt;=TODAY()-Steuerung!$C$27,"Reif","Frisch"))</f>
        <v/>
      </c>
    </row>
    <row r="180" spans="1:8" ht="15" hidden="1" customHeight="1" x14ac:dyDescent="0.25">
      <c r="A180" s="37"/>
      <c r="B180" s="37"/>
      <c r="C180" s="37"/>
      <c r="D180" s="37"/>
      <c r="E180" s="37"/>
      <c r="F180" s="37"/>
      <c r="G180" s="91" t="str">
        <f t="shared" si="2"/>
        <v>-</v>
      </c>
      <c r="H180" s="14" t="str">
        <f ca="1">IF(OR(A180="",B180=""),"",IF(EOMONTH(DATE(A180,MATCH(B180,{"Januar","Februar","März","April","Mai","Juni","Juli","August","September","Oktober","November","Dezember"},0),1),0)&lt;=TODAY()-Steuerung!$C$27,"Reif","Frisch"))</f>
        <v/>
      </c>
    </row>
    <row r="181" spans="1:8" ht="15" hidden="1" customHeight="1" x14ac:dyDescent="0.25">
      <c r="A181" s="41"/>
      <c r="B181" s="41"/>
      <c r="C181" s="41"/>
      <c r="D181" s="41"/>
      <c r="E181" s="41"/>
      <c r="F181" s="41"/>
      <c r="G181" s="93" t="str">
        <f t="shared" si="2"/>
        <v>-</v>
      </c>
      <c r="H181" s="10" t="str">
        <f ca="1">IF(OR(A181="",B181=""),"",IF(EOMONTH(DATE(A181,MATCH(B181,{"Januar","Februar","März","April","Mai","Juni","Juli","August","September","Oktober","November","Dezember"},0),1),0)&lt;=TODAY()-Steuerung!$C$27,"Reif","Frisch"))</f>
        <v/>
      </c>
    </row>
    <row r="182" spans="1:8" ht="15" hidden="1" customHeight="1" x14ac:dyDescent="0.25">
      <c r="A182" s="37"/>
      <c r="B182" s="37"/>
      <c r="C182" s="37"/>
      <c r="D182" s="37"/>
      <c r="E182" s="37"/>
      <c r="F182" s="37"/>
      <c r="G182" s="91" t="str">
        <f t="shared" si="2"/>
        <v>-</v>
      </c>
      <c r="H182" s="14" t="str">
        <f ca="1">IF(OR(A182="",B182=""),"",IF(EOMONTH(DATE(A182,MATCH(B182,{"Januar","Februar","März","April","Mai","Juni","Juli","August","September","Oktober","November","Dezember"},0),1),0)&lt;=TODAY()-Steuerung!$C$27,"Reif","Frisch"))</f>
        <v/>
      </c>
    </row>
    <row r="183" spans="1:8" ht="15" hidden="1" customHeight="1" x14ac:dyDescent="0.25">
      <c r="A183" s="41"/>
      <c r="B183" s="41"/>
      <c r="C183" s="41"/>
      <c r="D183" s="41"/>
      <c r="E183" s="41"/>
      <c r="F183" s="41"/>
      <c r="G183" s="93" t="str">
        <f t="shared" si="2"/>
        <v>-</v>
      </c>
      <c r="H183" s="10" t="str">
        <f ca="1">IF(OR(A183="",B183=""),"",IF(EOMONTH(DATE(A183,MATCH(B183,{"Januar","Februar","März","April","Mai","Juni","Juli","August","September","Oktober","November","Dezember"},0),1),0)&lt;=TODAY()-Steuerung!$C$27,"Reif","Frisch"))</f>
        <v/>
      </c>
    </row>
    <row r="184" spans="1:8" ht="15" hidden="1" customHeight="1" x14ac:dyDescent="0.25">
      <c r="A184" s="37"/>
      <c r="B184" s="37"/>
      <c r="C184" s="37"/>
      <c r="D184" s="37"/>
      <c r="E184" s="37"/>
      <c r="F184" s="37"/>
      <c r="G184" s="91" t="str">
        <f t="shared" si="2"/>
        <v>-</v>
      </c>
      <c r="H184" s="14" t="str">
        <f ca="1">IF(OR(A184="",B184=""),"",IF(EOMONTH(DATE(A184,MATCH(B184,{"Januar","Februar","März","April","Mai","Juni","Juli","August","September","Oktober","November","Dezember"},0),1),0)&lt;=TODAY()-Steuerung!$C$27,"Reif","Frisch"))</f>
        <v/>
      </c>
    </row>
    <row r="185" spans="1:8" ht="15" hidden="1" customHeight="1" x14ac:dyDescent="0.25">
      <c r="A185" s="41"/>
      <c r="B185" s="41"/>
      <c r="C185" s="41"/>
      <c r="D185" s="41"/>
      <c r="E185" s="41"/>
      <c r="F185" s="41"/>
      <c r="G185" s="93" t="str">
        <f t="shared" si="2"/>
        <v>-</v>
      </c>
      <c r="H185" s="10" t="str">
        <f ca="1">IF(OR(A185="",B185=""),"",IF(EOMONTH(DATE(A185,MATCH(B185,{"Januar","Februar","März","April","Mai","Juni","Juli","August","September","Oktober","November","Dezember"},0),1),0)&lt;=TODAY()-Steuerung!$C$27,"Reif","Frisch"))</f>
        <v/>
      </c>
    </row>
    <row r="186" spans="1:8" ht="15" hidden="1" customHeight="1" x14ac:dyDescent="0.25">
      <c r="A186" s="37"/>
      <c r="B186" s="37"/>
      <c r="C186" s="37"/>
      <c r="D186" s="37"/>
      <c r="E186" s="37"/>
      <c r="F186" s="37"/>
      <c r="G186" s="91" t="str">
        <f t="shared" si="2"/>
        <v>-</v>
      </c>
      <c r="H186" s="14" t="str">
        <f ca="1">IF(OR(A186="",B186=""),"",IF(EOMONTH(DATE(A186,MATCH(B186,{"Januar","Februar","März","April","Mai","Juni","Juli","August","September","Oktober","November","Dezember"},0),1),0)&lt;=TODAY()-Steuerung!$C$27,"Reif","Frisch"))</f>
        <v/>
      </c>
    </row>
    <row r="187" spans="1:8" ht="15" hidden="1" customHeight="1" x14ac:dyDescent="0.25">
      <c r="A187" s="41"/>
      <c r="B187" s="41"/>
      <c r="C187" s="41"/>
      <c r="D187" s="41"/>
      <c r="E187" s="41"/>
      <c r="F187" s="41"/>
      <c r="G187" s="93" t="str">
        <f t="shared" si="2"/>
        <v>-</v>
      </c>
      <c r="H187" s="10" t="str">
        <f ca="1">IF(OR(A187="",B187=""),"",IF(EOMONTH(DATE(A187,MATCH(B187,{"Januar","Februar","März","April","Mai","Juni","Juli","August","September","Oktober","November","Dezember"},0),1),0)&lt;=TODAY()-Steuerung!$C$27,"Reif","Frisch"))</f>
        <v/>
      </c>
    </row>
    <row r="188" spans="1:8" ht="15" hidden="1" customHeight="1" x14ac:dyDescent="0.25">
      <c r="A188" s="37"/>
      <c r="B188" s="37"/>
      <c r="C188" s="37"/>
      <c r="D188" s="37"/>
      <c r="E188" s="37"/>
      <c r="F188" s="37"/>
      <c r="G188" s="91" t="str">
        <f t="shared" si="2"/>
        <v>-</v>
      </c>
      <c r="H188" s="14" t="str">
        <f ca="1">IF(OR(A188="",B188=""),"",IF(EOMONTH(DATE(A188,MATCH(B188,{"Januar","Februar","März","April","Mai","Juni","Juli","August","September","Oktober","November","Dezember"},0),1),0)&lt;=TODAY()-Steuerung!$C$27,"Reif","Frisch"))</f>
        <v/>
      </c>
    </row>
    <row r="189" spans="1:8" ht="15" hidden="1" customHeight="1" x14ac:dyDescent="0.25">
      <c r="A189" s="41"/>
      <c r="B189" s="41"/>
      <c r="C189" s="41"/>
      <c r="D189" s="41"/>
      <c r="E189" s="41"/>
      <c r="F189" s="41"/>
      <c r="G189" s="93" t="str">
        <f t="shared" si="2"/>
        <v>-</v>
      </c>
      <c r="H189" s="10" t="str">
        <f ca="1">IF(OR(A189="",B189=""),"",IF(EOMONTH(DATE(A189,MATCH(B189,{"Januar","Februar","März","April","Mai","Juni","Juli","August","September","Oktober","November","Dezember"},0),1),0)&lt;=TODAY()-Steuerung!$C$27,"Reif","Frisch"))</f>
        <v/>
      </c>
    </row>
    <row r="190" spans="1:8" ht="15" hidden="1" customHeight="1" x14ac:dyDescent="0.25">
      <c r="A190" s="37"/>
      <c r="B190" s="37"/>
      <c r="C190" s="37"/>
      <c r="D190" s="37"/>
      <c r="E190" s="37"/>
      <c r="F190" s="37"/>
      <c r="G190" s="91" t="str">
        <f t="shared" si="2"/>
        <v>-</v>
      </c>
      <c r="H190" s="14" t="str">
        <f ca="1">IF(OR(A190="",B190=""),"",IF(EOMONTH(DATE(A190,MATCH(B190,{"Januar","Februar","März","April","Mai","Juni","Juli","August","September","Oktober","November","Dezember"},0),1),0)&lt;=TODAY()-Steuerung!$C$27,"Reif","Frisch"))</f>
        <v/>
      </c>
    </row>
    <row r="191" spans="1:8" ht="15" hidden="1" customHeight="1" x14ac:dyDescent="0.25">
      <c r="A191" s="41"/>
      <c r="B191" s="41"/>
      <c r="C191" s="41"/>
      <c r="D191" s="41"/>
      <c r="E191" s="41"/>
      <c r="F191" s="41"/>
      <c r="G191" s="93" t="str">
        <f t="shared" si="2"/>
        <v>-</v>
      </c>
      <c r="H191" s="10" t="str">
        <f ca="1">IF(OR(A191="",B191=""),"",IF(EOMONTH(DATE(A191,MATCH(B191,{"Januar","Februar","März","April","Mai","Juni","Juli","August","September","Oktober","November","Dezember"},0),1),0)&lt;=TODAY()-Steuerung!$C$27,"Reif","Frisch"))</f>
        <v/>
      </c>
    </row>
    <row r="192" spans="1:8" ht="15" hidden="1" customHeight="1" x14ac:dyDescent="0.25">
      <c r="A192" s="37"/>
      <c r="B192" s="37"/>
      <c r="C192" s="37"/>
      <c r="D192" s="37"/>
      <c r="E192" s="37"/>
      <c r="F192" s="37"/>
      <c r="G192" s="91" t="str">
        <f t="shared" si="2"/>
        <v>-</v>
      </c>
      <c r="H192" s="14" t="str">
        <f ca="1">IF(OR(A192="",B192=""),"",IF(EOMONTH(DATE(A192,MATCH(B192,{"Januar","Februar","März","April","Mai","Juni","Juli","August","September","Oktober","November","Dezember"},0),1),0)&lt;=TODAY()-Steuerung!$C$27,"Reif","Frisch"))</f>
        <v/>
      </c>
    </row>
    <row r="193" spans="1:8" ht="15" hidden="1" customHeight="1" x14ac:dyDescent="0.25">
      <c r="A193" s="41"/>
      <c r="B193" s="41"/>
      <c r="C193" s="41"/>
      <c r="D193" s="41"/>
      <c r="E193" s="41"/>
      <c r="F193" s="41"/>
      <c r="G193" s="93" t="str">
        <f t="shared" si="2"/>
        <v>-</v>
      </c>
      <c r="H193" s="10" t="str">
        <f ca="1">IF(OR(A193="",B193=""),"",IF(EOMONTH(DATE(A193,MATCH(B193,{"Januar","Februar","März","April","Mai","Juni","Juli","August","September","Oktober","November","Dezember"},0),1),0)&lt;=TODAY()-Steuerung!$C$27,"Reif","Frisch"))</f>
        <v/>
      </c>
    </row>
    <row r="194" spans="1:8" ht="15" hidden="1" customHeight="1" x14ac:dyDescent="0.25">
      <c r="A194" s="37"/>
      <c r="B194" s="37"/>
      <c r="C194" s="37"/>
      <c r="D194" s="37"/>
      <c r="E194" s="37"/>
      <c r="F194" s="37"/>
      <c r="G194" s="91" t="str">
        <f t="shared" si="2"/>
        <v>-</v>
      </c>
      <c r="H194" s="14" t="str">
        <f ca="1">IF(OR(A194="",B194=""),"",IF(EOMONTH(DATE(A194,MATCH(B194,{"Januar","Februar","März","April","Mai","Juni","Juli","August","September","Oktober","November","Dezember"},0),1),0)&lt;=TODAY()-Steuerung!$C$27,"Reif","Frisch"))</f>
        <v/>
      </c>
    </row>
    <row r="195" spans="1:8" ht="15" hidden="1" customHeight="1" x14ac:dyDescent="0.25">
      <c r="A195" s="41"/>
      <c r="B195" s="41"/>
      <c r="C195" s="41"/>
      <c r="D195" s="41"/>
      <c r="E195" s="41"/>
      <c r="F195" s="41"/>
      <c r="G195" s="93" t="str">
        <f t="shared" si="2"/>
        <v>-</v>
      </c>
      <c r="H195" s="10" t="str">
        <f ca="1">IF(OR(A195="",B195=""),"",IF(EOMONTH(DATE(A195,MATCH(B195,{"Januar","Februar","März","April","Mai","Juni","Juli","August","September","Oktober","November","Dezember"},0),1),0)&lt;=TODAY()-Steuerung!$C$27,"Reif","Frisch"))</f>
        <v/>
      </c>
    </row>
    <row r="196" spans="1:8" ht="15" hidden="1" customHeight="1" x14ac:dyDescent="0.25">
      <c r="A196" s="37"/>
      <c r="B196" s="37"/>
      <c r="C196" s="37"/>
      <c r="D196" s="37"/>
      <c r="E196" s="37"/>
      <c r="F196" s="37"/>
      <c r="G196" s="91" t="str">
        <f t="shared" ref="G196:G259" si="3">IF(D196=0,"-",E196/D196)</f>
        <v>-</v>
      </c>
      <c r="H196" s="14" t="str">
        <f ca="1">IF(OR(A196="",B196=""),"",IF(EOMONTH(DATE(A196,MATCH(B196,{"Januar","Februar","März","April","Mai","Juni","Juli","August","September","Oktober","November","Dezember"},0),1),0)&lt;=TODAY()-Steuerung!$C$27,"Reif","Frisch"))</f>
        <v/>
      </c>
    </row>
    <row r="197" spans="1:8" ht="15" hidden="1" customHeight="1" x14ac:dyDescent="0.25">
      <c r="A197" s="41"/>
      <c r="B197" s="41"/>
      <c r="C197" s="41"/>
      <c r="D197" s="41"/>
      <c r="E197" s="41"/>
      <c r="F197" s="41"/>
      <c r="G197" s="93" t="str">
        <f t="shared" si="3"/>
        <v>-</v>
      </c>
      <c r="H197" s="10" t="str">
        <f ca="1">IF(OR(A197="",B197=""),"",IF(EOMONTH(DATE(A197,MATCH(B197,{"Januar","Februar","März","April","Mai","Juni","Juli","August","September","Oktober","November","Dezember"},0),1),0)&lt;=TODAY()-Steuerung!$C$27,"Reif","Frisch"))</f>
        <v/>
      </c>
    </row>
    <row r="198" spans="1:8" ht="15" hidden="1" customHeight="1" x14ac:dyDescent="0.25">
      <c r="A198" s="37"/>
      <c r="B198" s="37"/>
      <c r="C198" s="37"/>
      <c r="D198" s="37"/>
      <c r="E198" s="37"/>
      <c r="F198" s="37"/>
      <c r="G198" s="91" t="str">
        <f t="shared" si="3"/>
        <v>-</v>
      </c>
      <c r="H198" s="14" t="str">
        <f ca="1">IF(OR(A198="",B198=""),"",IF(EOMONTH(DATE(A198,MATCH(B198,{"Januar","Februar","März","April","Mai","Juni","Juli","August","September","Oktober","November","Dezember"},0),1),0)&lt;=TODAY()-Steuerung!$C$27,"Reif","Frisch"))</f>
        <v/>
      </c>
    </row>
    <row r="199" spans="1:8" ht="15" hidden="1" customHeight="1" x14ac:dyDescent="0.25">
      <c r="A199" s="41"/>
      <c r="B199" s="41"/>
      <c r="C199" s="41"/>
      <c r="D199" s="41"/>
      <c r="E199" s="41"/>
      <c r="F199" s="41"/>
      <c r="G199" s="93" t="str">
        <f t="shared" si="3"/>
        <v>-</v>
      </c>
      <c r="H199" s="10" t="str">
        <f ca="1">IF(OR(A199="",B199=""),"",IF(EOMONTH(DATE(A199,MATCH(B199,{"Januar","Februar","März","April","Mai","Juni","Juli","August","September","Oktober","November","Dezember"},0),1),0)&lt;=TODAY()-Steuerung!$C$27,"Reif","Frisch"))</f>
        <v/>
      </c>
    </row>
    <row r="200" spans="1:8" ht="15" hidden="1" customHeight="1" x14ac:dyDescent="0.25">
      <c r="A200" s="37"/>
      <c r="B200" s="37"/>
      <c r="C200" s="37"/>
      <c r="D200" s="37"/>
      <c r="E200" s="37"/>
      <c r="F200" s="37"/>
      <c r="G200" s="91" t="str">
        <f t="shared" si="3"/>
        <v>-</v>
      </c>
      <c r="H200" s="14" t="str">
        <f ca="1">IF(OR(A200="",B200=""),"",IF(EOMONTH(DATE(A200,MATCH(B200,{"Januar","Februar","März","April","Mai","Juni","Juli","August","September","Oktober","November","Dezember"},0),1),0)&lt;=TODAY()-Steuerung!$C$27,"Reif","Frisch"))</f>
        <v/>
      </c>
    </row>
    <row r="201" spans="1:8" ht="15" hidden="1" customHeight="1" x14ac:dyDescent="0.25">
      <c r="A201" s="41"/>
      <c r="B201" s="41"/>
      <c r="C201" s="41"/>
      <c r="D201" s="41"/>
      <c r="E201" s="41"/>
      <c r="F201" s="41"/>
      <c r="G201" s="93" t="str">
        <f t="shared" si="3"/>
        <v>-</v>
      </c>
      <c r="H201" s="10" t="str">
        <f ca="1">IF(OR(A201="",B201=""),"",IF(EOMONTH(DATE(A201,MATCH(B201,{"Januar","Februar","März","April","Mai","Juni","Juli","August","September","Oktober","November","Dezember"},0),1),0)&lt;=TODAY()-Steuerung!$C$27,"Reif","Frisch"))</f>
        <v/>
      </c>
    </row>
    <row r="202" spans="1:8" ht="15" hidden="1" customHeight="1" x14ac:dyDescent="0.25">
      <c r="A202" s="37"/>
      <c r="B202" s="37"/>
      <c r="C202" s="37"/>
      <c r="D202" s="37"/>
      <c r="E202" s="37"/>
      <c r="F202" s="37"/>
      <c r="G202" s="91" t="str">
        <f t="shared" si="3"/>
        <v>-</v>
      </c>
      <c r="H202" s="14" t="str">
        <f ca="1">IF(OR(A202="",B202=""),"",IF(EOMONTH(DATE(A202,MATCH(B202,{"Januar","Februar","März","April","Mai","Juni","Juli","August","September","Oktober","November","Dezember"},0),1),0)&lt;=TODAY()-Steuerung!$C$27,"Reif","Frisch"))</f>
        <v/>
      </c>
    </row>
    <row r="203" spans="1:8" ht="15" hidden="1" customHeight="1" x14ac:dyDescent="0.25">
      <c r="A203" s="41"/>
      <c r="B203" s="41"/>
      <c r="C203" s="41"/>
      <c r="D203" s="41"/>
      <c r="E203" s="41"/>
      <c r="F203" s="41"/>
      <c r="G203" s="93" t="str">
        <f t="shared" si="3"/>
        <v>-</v>
      </c>
      <c r="H203" s="10" t="str">
        <f ca="1">IF(OR(A203="",B203=""),"",IF(EOMONTH(DATE(A203,MATCH(B203,{"Januar","Februar","März","April","Mai","Juni","Juli","August","September","Oktober","November","Dezember"},0),1),0)&lt;=TODAY()-Steuerung!$C$27,"Reif","Frisch"))</f>
        <v/>
      </c>
    </row>
    <row r="204" spans="1:8" ht="15" hidden="1" customHeight="1" x14ac:dyDescent="0.25">
      <c r="A204" s="37"/>
      <c r="B204" s="37"/>
      <c r="C204" s="37"/>
      <c r="D204" s="37"/>
      <c r="E204" s="37"/>
      <c r="F204" s="37"/>
      <c r="G204" s="91" t="str">
        <f t="shared" si="3"/>
        <v>-</v>
      </c>
      <c r="H204" s="14" t="str">
        <f ca="1">IF(OR(A204="",B204=""),"",IF(EOMONTH(DATE(A204,MATCH(B204,{"Januar","Februar","März","April","Mai","Juni","Juli","August","September","Oktober","November","Dezember"},0),1),0)&lt;=TODAY()-Steuerung!$C$27,"Reif","Frisch"))</f>
        <v/>
      </c>
    </row>
    <row r="205" spans="1:8" ht="15" hidden="1" customHeight="1" x14ac:dyDescent="0.25">
      <c r="A205" s="41"/>
      <c r="B205" s="41"/>
      <c r="C205" s="41"/>
      <c r="D205" s="41"/>
      <c r="E205" s="41"/>
      <c r="F205" s="41"/>
      <c r="G205" s="93" t="str">
        <f t="shared" si="3"/>
        <v>-</v>
      </c>
      <c r="H205" s="10" t="str">
        <f ca="1">IF(OR(A205="",B205=""),"",IF(EOMONTH(DATE(A205,MATCH(B205,{"Januar","Februar","März","April","Mai","Juni","Juli","August","September","Oktober","November","Dezember"},0),1),0)&lt;=TODAY()-Steuerung!$C$27,"Reif","Frisch"))</f>
        <v/>
      </c>
    </row>
    <row r="206" spans="1:8" ht="15" hidden="1" customHeight="1" x14ac:dyDescent="0.25">
      <c r="A206" s="37"/>
      <c r="B206" s="37"/>
      <c r="C206" s="37"/>
      <c r="D206" s="37"/>
      <c r="E206" s="37"/>
      <c r="F206" s="37"/>
      <c r="G206" s="91" t="str">
        <f t="shared" si="3"/>
        <v>-</v>
      </c>
      <c r="H206" s="14" t="str">
        <f ca="1">IF(OR(A206="",B206=""),"",IF(EOMONTH(DATE(A206,MATCH(B206,{"Januar","Februar","März","April","Mai","Juni","Juli","August","September","Oktober","November","Dezember"},0),1),0)&lt;=TODAY()-Steuerung!$C$27,"Reif","Frisch"))</f>
        <v/>
      </c>
    </row>
    <row r="207" spans="1:8" ht="15" hidden="1" customHeight="1" x14ac:dyDescent="0.25">
      <c r="A207" s="41"/>
      <c r="B207" s="41"/>
      <c r="C207" s="41"/>
      <c r="D207" s="41"/>
      <c r="E207" s="41"/>
      <c r="F207" s="41"/>
      <c r="G207" s="93" t="str">
        <f t="shared" si="3"/>
        <v>-</v>
      </c>
      <c r="H207" s="10" t="str">
        <f ca="1">IF(OR(A207="",B207=""),"",IF(EOMONTH(DATE(A207,MATCH(B207,{"Januar","Februar","März","April","Mai","Juni","Juli","August","September","Oktober","November","Dezember"},0),1),0)&lt;=TODAY()-Steuerung!$C$27,"Reif","Frisch"))</f>
        <v/>
      </c>
    </row>
    <row r="208" spans="1:8" ht="15" hidden="1" customHeight="1" x14ac:dyDescent="0.25">
      <c r="A208" s="37"/>
      <c r="B208" s="37"/>
      <c r="C208" s="37"/>
      <c r="D208" s="37"/>
      <c r="E208" s="37"/>
      <c r="F208" s="37"/>
      <c r="G208" s="91" t="str">
        <f t="shared" si="3"/>
        <v>-</v>
      </c>
      <c r="H208" s="14" t="str">
        <f ca="1">IF(OR(A208="",B208=""),"",IF(EOMONTH(DATE(A208,MATCH(B208,{"Januar","Februar","März","April","Mai","Juni","Juli","August","September","Oktober","November","Dezember"},0),1),0)&lt;=TODAY()-Steuerung!$C$27,"Reif","Frisch"))</f>
        <v/>
      </c>
    </row>
    <row r="209" spans="1:8" ht="15" hidden="1" customHeight="1" x14ac:dyDescent="0.25">
      <c r="A209" s="41"/>
      <c r="B209" s="41"/>
      <c r="C209" s="41"/>
      <c r="D209" s="41"/>
      <c r="E209" s="41"/>
      <c r="F209" s="41"/>
      <c r="G209" s="93" t="str">
        <f t="shared" si="3"/>
        <v>-</v>
      </c>
      <c r="H209" s="10" t="str">
        <f ca="1">IF(OR(A209="",B209=""),"",IF(EOMONTH(DATE(A209,MATCH(B209,{"Januar","Februar","März","April","Mai","Juni","Juli","August","September","Oktober","November","Dezember"},0),1),0)&lt;=TODAY()-Steuerung!$C$27,"Reif","Frisch"))</f>
        <v/>
      </c>
    </row>
    <row r="210" spans="1:8" ht="15" hidden="1" customHeight="1" x14ac:dyDescent="0.25">
      <c r="A210" s="37"/>
      <c r="B210" s="37"/>
      <c r="C210" s="37"/>
      <c r="D210" s="37"/>
      <c r="E210" s="37"/>
      <c r="F210" s="37"/>
      <c r="G210" s="91" t="str">
        <f t="shared" si="3"/>
        <v>-</v>
      </c>
      <c r="H210" s="14" t="str">
        <f ca="1">IF(OR(A210="",B210=""),"",IF(EOMONTH(DATE(A210,MATCH(B210,{"Januar","Februar","März","April","Mai","Juni","Juli","August","September","Oktober","November","Dezember"},0),1),0)&lt;=TODAY()-Steuerung!$C$27,"Reif","Frisch"))</f>
        <v/>
      </c>
    </row>
    <row r="211" spans="1:8" ht="15" hidden="1" customHeight="1" x14ac:dyDescent="0.25">
      <c r="A211" s="41"/>
      <c r="B211" s="41"/>
      <c r="C211" s="41"/>
      <c r="D211" s="41"/>
      <c r="E211" s="41"/>
      <c r="F211" s="41"/>
      <c r="G211" s="93" t="str">
        <f t="shared" si="3"/>
        <v>-</v>
      </c>
      <c r="H211" s="10" t="str">
        <f ca="1">IF(OR(A211="",B211=""),"",IF(EOMONTH(DATE(A211,MATCH(B211,{"Januar","Februar","März","April","Mai","Juni","Juli","August","September","Oktober","November","Dezember"},0),1),0)&lt;=TODAY()-Steuerung!$C$27,"Reif","Frisch"))</f>
        <v/>
      </c>
    </row>
    <row r="212" spans="1:8" ht="15" hidden="1" customHeight="1" x14ac:dyDescent="0.25">
      <c r="A212" s="37"/>
      <c r="B212" s="37"/>
      <c r="C212" s="37"/>
      <c r="D212" s="37"/>
      <c r="E212" s="37"/>
      <c r="F212" s="37"/>
      <c r="G212" s="91" t="str">
        <f t="shared" si="3"/>
        <v>-</v>
      </c>
      <c r="H212" s="14" t="str">
        <f ca="1">IF(OR(A212="",B212=""),"",IF(EOMONTH(DATE(A212,MATCH(B212,{"Januar","Februar","März","April","Mai","Juni","Juli","August","September","Oktober","November","Dezember"},0),1),0)&lt;=TODAY()-Steuerung!$C$27,"Reif","Frisch"))</f>
        <v/>
      </c>
    </row>
    <row r="213" spans="1:8" ht="15" hidden="1" customHeight="1" x14ac:dyDescent="0.25">
      <c r="A213" s="41"/>
      <c r="B213" s="41"/>
      <c r="C213" s="41"/>
      <c r="D213" s="41"/>
      <c r="E213" s="41"/>
      <c r="F213" s="41"/>
      <c r="G213" s="93" t="str">
        <f t="shared" si="3"/>
        <v>-</v>
      </c>
      <c r="H213" s="10" t="str">
        <f ca="1">IF(OR(A213="",B213=""),"",IF(EOMONTH(DATE(A213,MATCH(B213,{"Januar","Februar","März","April","Mai","Juni","Juli","August","September","Oktober","November","Dezember"},0),1),0)&lt;=TODAY()-Steuerung!$C$27,"Reif","Frisch"))</f>
        <v/>
      </c>
    </row>
    <row r="214" spans="1:8" ht="15" hidden="1" customHeight="1" x14ac:dyDescent="0.25">
      <c r="A214" s="37"/>
      <c r="B214" s="37"/>
      <c r="C214" s="37"/>
      <c r="D214" s="37"/>
      <c r="E214" s="37"/>
      <c r="F214" s="37"/>
      <c r="G214" s="91" t="str">
        <f t="shared" si="3"/>
        <v>-</v>
      </c>
      <c r="H214" s="14" t="str">
        <f ca="1">IF(OR(A214="",B214=""),"",IF(EOMONTH(DATE(A214,MATCH(B214,{"Januar","Februar","März","April","Mai","Juni","Juli","August","September","Oktober","November","Dezember"},0),1),0)&lt;=TODAY()-Steuerung!$C$27,"Reif","Frisch"))</f>
        <v/>
      </c>
    </row>
    <row r="215" spans="1:8" ht="15" hidden="1" customHeight="1" x14ac:dyDescent="0.25">
      <c r="A215" s="41"/>
      <c r="B215" s="41"/>
      <c r="C215" s="41"/>
      <c r="D215" s="41"/>
      <c r="E215" s="41"/>
      <c r="F215" s="41"/>
      <c r="G215" s="93" t="str">
        <f t="shared" si="3"/>
        <v>-</v>
      </c>
      <c r="H215" s="10" t="str">
        <f ca="1">IF(OR(A215="",B215=""),"",IF(EOMONTH(DATE(A215,MATCH(B215,{"Januar","Februar","März","April","Mai","Juni","Juli","August","September","Oktober","November","Dezember"},0),1),0)&lt;=TODAY()-Steuerung!$C$27,"Reif","Frisch"))</f>
        <v/>
      </c>
    </row>
    <row r="216" spans="1:8" ht="15" hidden="1" customHeight="1" x14ac:dyDescent="0.25">
      <c r="A216" s="37"/>
      <c r="B216" s="37"/>
      <c r="C216" s="37"/>
      <c r="D216" s="37"/>
      <c r="E216" s="37"/>
      <c r="F216" s="37"/>
      <c r="G216" s="91" t="str">
        <f t="shared" si="3"/>
        <v>-</v>
      </c>
      <c r="H216" s="14" t="str">
        <f ca="1">IF(OR(A216="",B216=""),"",IF(EOMONTH(DATE(A216,MATCH(B216,{"Januar","Februar","März","April","Mai","Juni","Juli","August","September","Oktober","November","Dezember"},0),1),0)&lt;=TODAY()-Steuerung!$C$27,"Reif","Frisch"))</f>
        <v/>
      </c>
    </row>
    <row r="217" spans="1:8" ht="15" hidden="1" customHeight="1" x14ac:dyDescent="0.25">
      <c r="A217" s="41"/>
      <c r="B217" s="41"/>
      <c r="C217" s="41"/>
      <c r="D217" s="41"/>
      <c r="E217" s="41"/>
      <c r="F217" s="41"/>
      <c r="G217" s="93" t="str">
        <f t="shared" si="3"/>
        <v>-</v>
      </c>
      <c r="H217" s="10" t="str">
        <f ca="1">IF(OR(A217="",B217=""),"",IF(EOMONTH(DATE(A217,MATCH(B217,{"Januar","Februar","März","April","Mai","Juni","Juli","August","September","Oktober","November","Dezember"},0),1),0)&lt;=TODAY()-Steuerung!$C$27,"Reif","Frisch"))</f>
        <v/>
      </c>
    </row>
    <row r="218" spans="1:8" ht="15" hidden="1" customHeight="1" x14ac:dyDescent="0.25">
      <c r="A218" s="37"/>
      <c r="B218" s="37"/>
      <c r="C218" s="37"/>
      <c r="D218" s="37"/>
      <c r="E218" s="37"/>
      <c r="F218" s="37"/>
      <c r="G218" s="91" t="str">
        <f t="shared" si="3"/>
        <v>-</v>
      </c>
      <c r="H218" s="14" t="str">
        <f ca="1">IF(OR(A218="",B218=""),"",IF(EOMONTH(DATE(A218,MATCH(B218,{"Januar","Februar","März","April","Mai","Juni","Juli","August","September","Oktober","November","Dezember"},0),1),0)&lt;=TODAY()-Steuerung!$C$27,"Reif","Frisch"))</f>
        <v/>
      </c>
    </row>
    <row r="219" spans="1:8" ht="15" hidden="1" customHeight="1" x14ac:dyDescent="0.25">
      <c r="A219" s="41"/>
      <c r="B219" s="41"/>
      <c r="C219" s="41"/>
      <c r="D219" s="41"/>
      <c r="E219" s="41"/>
      <c r="F219" s="41"/>
      <c r="G219" s="93" t="str">
        <f t="shared" si="3"/>
        <v>-</v>
      </c>
      <c r="H219" s="10" t="str">
        <f ca="1">IF(OR(A219="",B219=""),"",IF(EOMONTH(DATE(A219,MATCH(B219,{"Januar","Februar","März","April","Mai","Juni","Juli","August","September","Oktober","November","Dezember"},0),1),0)&lt;=TODAY()-Steuerung!$C$27,"Reif","Frisch"))</f>
        <v/>
      </c>
    </row>
    <row r="220" spans="1:8" ht="15" hidden="1" customHeight="1" x14ac:dyDescent="0.25">
      <c r="A220" s="37"/>
      <c r="B220" s="37"/>
      <c r="C220" s="37"/>
      <c r="D220" s="37"/>
      <c r="E220" s="37"/>
      <c r="F220" s="37"/>
      <c r="G220" s="91" t="str">
        <f t="shared" si="3"/>
        <v>-</v>
      </c>
      <c r="H220" s="14" t="str">
        <f ca="1">IF(OR(A220="",B220=""),"",IF(EOMONTH(DATE(A220,MATCH(B220,{"Januar","Februar","März","April","Mai","Juni","Juli","August","September","Oktober","November","Dezember"},0),1),0)&lt;=TODAY()-Steuerung!$C$27,"Reif","Frisch"))</f>
        <v/>
      </c>
    </row>
    <row r="221" spans="1:8" ht="15" hidden="1" customHeight="1" x14ac:dyDescent="0.25">
      <c r="A221" s="41"/>
      <c r="B221" s="41"/>
      <c r="C221" s="41"/>
      <c r="D221" s="41"/>
      <c r="E221" s="41"/>
      <c r="F221" s="41"/>
      <c r="G221" s="93" t="str">
        <f t="shared" si="3"/>
        <v>-</v>
      </c>
      <c r="H221" s="10" t="str">
        <f ca="1">IF(OR(A221="",B221=""),"",IF(EOMONTH(DATE(A221,MATCH(B221,{"Januar","Februar","März","April","Mai","Juni","Juli","August","September","Oktober","November","Dezember"},0),1),0)&lt;=TODAY()-Steuerung!$C$27,"Reif","Frisch"))</f>
        <v/>
      </c>
    </row>
    <row r="222" spans="1:8" ht="15" hidden="1" customHeight="1" x14ac:dyDescent="0.25">
      <c r="A222" s="37"/>
      <c r="B222" s="37"/>
      <c r="C222" s="37"/>
      <c r="D222" s="37"/>
      <c r="E222" s="37"/>
      <c r="F222" s="37"/>
      <c r="G222" s="91" t="str">
        <f t="shared" si="3"/>
        <v>-</v>
      </c>
      <c r="H222" s="14" t="str">
        <f ca="1">IF(OR(A222="",B222=""),"",IF(EOMONTH(DATE(A222,MATCH(B222,{"Januar","Februar","März","April","Mai","Juni","Juli","August","September","Oktober","November","Dezember"},0),1),0)&lt;=TODAY()-Steuerung!$C$27,"Reif","Frisch"))</f>
        <v/>
      </c>
    </row>
    <row r="223" spans="1:8" ht="15" hidden="1" customHeight="1" x14ac:dyDescent="0.25">
      <c r="A223" s="41"/>
      <c r="B223" s="41"/>
      <c r="C223" s="41"/>
      <c r="D223" s="41"/>
      <c r="E223" s="41"/>
      <c r="F223" s="41"/>
      <c r="G223" s="93" t="str">
        <f t="shared" si="3"/>
        <v>-</v>
      </c>
      <c r="H223" s="10" t="str">
        <f ca="1">IF(OR(A223="",B223=""),"",IF(EOMONTH(DATE(A223,MATCH(B223,{"Januar","Februar","März","April","Mai","Juni","Juli","August","September","Oktober","November","Dezember"},0),1),0)&lt;=TODAY()-Steuerung!$C$27,"Reif","Frisch"))</f>
        <v/>
      </c>
    </row>
    <row r="224" spans="1:8" ht="15" hidden="1" customHeight="1" x14ac:dyDescent="0.25">
      <c r="A224" s="37"/>
      <c r="B224" s="37"/>
      <c r="C224" s="37"/>
      <c r="D224" s="37"/>
      <c r="E224" s="37"/>
      <c r="F224" s="37"/>
      <c r="G224" s="91" t="str">
        <f t="shared" si="3"/>
        <v>-</v>
      </c>
      <c r="H224" s="14" t="str">
        <f ca="1">IF(OR(A224="",B224=""),"",IF(EOMONTH(DATE(A224,MATCH(B224,{"Januar","Februar","März","April","Mai","Juni","Juli","August","September","Oktober","November","Dezember"},0),1),0)&lt;=TODAY()-Steuerung!$C$27,"Reif","Frisch"))</f>
        <v/>
      </c>
    </row>
    <row r="225" spans="1:8" ht="15" hidden="1" customHeight="1" x14ac:dyDescent="0.25">
      <c r="A225" s="41"/>
      <c r="B225" s="41"/>
      <c r="C225" s="41"/>
      <c r="D225" s="41"/>
      <c r="E225" s="41"/>
      <c r="F225" s="41"/>
      <c r="G225" s="93" t="str">
        <f t="shared" si="3"/>
        <v>-</v>
      </c>
      <c r="H225" s="10" t="str">
        <f ca="1">IF(OR(A225="",B225=""),"",IF(EOMONTH(DATE(A225,MATCH(B225,{"Januar","Februar","März","April","Mai","Juni","Juli","August","September","Oktober","November","Dezember"},0),1),0)&lt;=TODAY()-Steuerung!$C$27,"Reif","Frisch"))</f>
        <v/>
      </c>
    </row>
    <row r="226" spans="1:8" ht="15" hidden="1" customHeight="1" x14ac:dyDescent="0.25">
      <c r="A226" s="37"/>
      <c r="B226" s="37"/>
      <c r="C226" s="37"/>
      <c r="D226" s="37"/>
      <c r="E226" s="37"/>
      <c r="F226" s="37"/>
      <c r="G226" s="91" t="str">
        <f t="shared" si="3"/>
        <v>-</v>
      </c>
      <c r="H226" s="14" t="str">
        <f ca="1">IF(OR(A226="",B226=""),"",IF(EOMONTH(DATE(A226,MATCH(B226,{"Januar","Februar","März","April","Mai","Juni","Juli","August","September","Oktober","November","Dezember"},0),1),0)&lt;=TODAY()-Steuerung!$C$27,"Reif","Frisch"))</f>
        <v/>
      </c>
    </row>
    <row r="227" spans="1:8" ht="15" hidden="1" customHeight="1" x14ac:dyDescent="0.25">
      <c r="A227" s="41"/>
      <c r="B227" s="41"/>
      <c r="C227" s="41"/>
      <c r="D227" s="41"/>
      <c r="E227" s="41"/>
      <c r="F227" s="41"/>
      <c r="G227" s="93" t="str">
        <f t="shared" si="3"/>
        <v>-</v>
      </c>
      <c r="H227" s="10" t="str">
        <f ca="1">IF(OR(A227="",B227=""),"",IF(EOMONTH(DATE(A227,MATCH(B227,{"Januar","Februar","März","April","Mai","Juni","Juli","August","September","Oktober","November","Dezember"},0),1),0)&lt;=TODAY()-Steuerung!$C$27,"Reif","Frisch"))</f>
        <v/>
      </c>
    </row>
    <row r="228" spans="1:8" ht="15" hidden="1" customHeight="1" x14ac:dyDescent="0.25">
      <c r="A228" s="37"/>
      <c r="B228" s="37"/>
      <c r="C228" s="37"/>
      <c r="D228" s="37"/>
      <c r="E228" s="37"/>
      <c r="F228" s="37"/>
      <c r="G228" s="91" t="str">
        <f t="shared" si="3"/>
        <v>-</v>
      </c>
      <c r="H228" s="14" t="str">
        <f ca="1">IF(OR(A228="",B228=""),"",IF(EOMONTH(DATE(A228,MATCH(B228,{"Januar","Februar","März","April","Mai","Juni","Juli","August","September","Oktober","November","Dezember"},0),1),0)&lt;=TODAY()-Steuerung!$C$27,"Reif","Frisch"))</f>
        <v/>
      </c>
    </row>
    <row r="229" spans="1:8" ht="15" hidden="1" customHeight="1" x14ac:dyDescent="0.25">
      <c r="A229" s="41"/>
      <c r="B229" s="41"/>
      <c r="C229" s="41"/>
      <c r="D229" s="41"/>
      <c r="E229" s="41"/>
      <c r="F229" s="41"/>
      <c r="G229" s="93" t="str">
        <f t="shared" si="3"/>
        <v>-</v>
      </c>
      <c r="H229" s="10" t="str">
        <f ca="1">IF(OR(A229="",B229=""),"",IF(EOMONTH(DATE(A229,MATCH(B229,{"Januar","Februar","März","April","Mai","Juni","Juli","August","September","Oktober","November","Dezember"},0),1),0)&lt;=TODAY()-Steuerung!$C$27,"Reif","Frisch"))</f>
        <v/>
      </c>
    </row>
    <row r="230" spans="1:8" ht="15" hidden="1" customHeight="1" x14ac:dyDescent="0.25">
      <c r="A230" s="37"/>
      <c r="B230" s="37"/>
      <c r="C230" s="37"/>
      <c r="D230" s="37"/>
      <c r="E230" s="37"/>
      <c r="F230" s="37"/>
      <c r="G230" s="91" t="str">
        <f t="shared" si="3"/>
        <v>-</v>
      </c>
      <c r="H230" s="14" t="str">
        <f ca="1">IF(OR(A230="",B230=""),"",IF(EOMONTH(DATE(A230,MATCH(B230,{"Januar","Februar","März","April","Mai","Juni","Juli","August","September","Oktober","November","Dezember"},0),1),0)&lt;=TODAY()-Steuerung!$C$27,"Reif","Frisch"))</f>
        <v/>
      </c>
    </row>
    <row r="231" spans="1:8" ht="15" hidden="1" customHeight="1" x14ac:dyDescent="0.25">
      <c r="A231" s="41"/>
      <c r="B231" s="41"/>
      <c r="C231" s="41"/>
      <c r="D231" s="41"/>
      <c r="E231" s="41"/>
      <c r="F231" s="41"/>
      <c r="G231" s="93" t="str">
        <f t="shared" si="3"/>
        <v>-</v>
      </c>
      <c r="H231" s="10" t="str">
        <f ca="1">IF(OR(A231="",B231=""),"",IF(EOMONTH(DATE(A231,MATCH(B231,{"Januar","Februar","März","April","Mai","Juni","Juli","August","September","Oktober","November","Dezember"},0),1),0)&lt;=TODAY()-Steuerung!$C$27,"Reif","Frisch"))</f>
        <v/>
      </c>
    </row>
    <row r="232" spans="1:8" ht="15" hidden="1" customHeight="1" x14ac:dyDescent="0.25">
      <c r="A232" s="37"/>
      <c r="B232" s="37"/>
      <c r="C232" s="37"/>
      <c r="D232" s="37"/>
      <c r="E232" s="37"/>
      <c r="F232" s="37"/>
      <c r="G232" s="91" t="str">
        <f t="shared" si="3"/>
        <v>-</v>
      </c>
      <c r="H232" s="14" t="str">
        <f ca="1">IF(OR(A232="",B232=""),"",IF(EOMONTH(DATE(A232,MATCH(B232,{"Januar","Februar","März","April","Mai","Juni","Juli","August","September","Oktober","November","Dezember"},0),1),0)&lt;=TODAY()-Steuerung!$C$27,"Reif","Frisch"))</f>
        <v/>
      </c>
    </row>
    <row r="233" spans="1:8" ht="15" hidden="1" customHeight="1" x14ac:dyDescent="0.25">
      <c r="A233" s="41"/>
      <c r="B233" s="41"/>
      <c r="C233" s="41"/>
      <c r="D233" s="41"/>
      <c r="E233" s="41"/>
      <c r="F233" s="41"/>
      <c r="G233" s="93" t="str">
        <f t="shared" si="3"/>
        <v>-</v>
      </c>
      <c r="H233" s="10" t="str">
        <f ca="1">IF(OR(A233="",B233=""),"",IF(EOMONTH(DATE(A233,MATCH(B233,{"Januar","Februar","März","April","Mai","Juni","Juli","August","September","Oktober","November","Dezember"},0),1),0)&lt;=TODAY()-Steuerung!$C$27,"Reif","Frisch"))</f>
        <v/>
      </c>
    </row>
    <row r="234" spans="1:8" ht="15" hidden="1" customHeight="1" x14ac:dyDescent="0.25">
      <c r="A234" s="37"/>
      <c r="B234" s="37"/>
      <c r="C234" s="37"/>
      <c r="D234" s="37"/>
      <c r="E234" s="37"/>
      <c r="F234" s="37"/>
      <c r="G234" s="91" t="str">
        <f t="shared" si="3"/>
        <v>-</v>
      </c>
      <c r="H234" s="14" t="str">
        <f ca="1">IF(OR(A234="",B234=""),"",IF(EOMONTH(DATE(A234,MATCH(B234,{"Januar","Februar","März","April","Mai","Juni","Juli","August","September","Oktober","November","Dezember"},0),1),0)&lt;=TODAY()-Steuerung!$C$27,"Reif","Frisch"))</f>
        <v/>
      </c>
    </row>
    <row r="235" spans="1:8" ht="15" hidden="1" customHeight="1" x14ac:dyDescent="0.25">
      <c r="A235" s="41"/>
      <c r="B235" s="41"/>
      <c r="C235" s="41"/>
      <c r="D235" s="41"/>
      <c r="E235" s="41"/>
      <c r="F235" s="41"/>
      <c r="G235" s="93" t="str">
        <f t="shared" si="3"/>
        <v>-</v>
      </c>
      <c r="H235" s="10" t="str">
        <f ca="1">IF(OR(A235="",B235=""),"",IF(EOMONTH(DATE(A235,MATCH(B235,{"Januar","Februar","März","April","Mai","Juni","Juli","August","September","Oktober","November","Dezember"},0),1),0)&lt;=TODAY()-Steuerung!$C$27,"Reif","Frisch"))</f>
        <v/>
      </c>
    </row>
    <row r="236" spans="1:8" ht="15" hidden="1" customHeight="1" x14ac:dyDescent="0.25">
      <c r="A236" s="37"/>
      <c r="B236" s="37"/>
      <c r="C236" s="37"/>
      <c r="D236" s="37"/>
      <c r="E236" s="37"/>
      <c r="F236" s="37"/>
      <c r="G236" s="91" t="str">
        <f t="shared" si="3"/>
        <v>-</v>
      </c>
      <c r="H236" s="14" t="str">
        <f ca="1">IF(OR(A236="",B236=""),"",IF(EOMONTH(DATE(A236,MATCH(B236,{"Januar","Februar","März","April","Mai","Juni","Juli","August","September","Oktober","November","Dezember"},0),1),0)&lt;=TODAY()-Steuerung!$C$27,"Reif","Frisch"))</f>
        <v/>
      </c>
    </row>
    <row r="237" spans="1:8" ht="15" hidden="1" customHeight="1" x14ac:dyDescent="0.25">
      <c r="A237" s="41"/>
      <c r="B237" s="41"/>
      <c r="C237" s="41"/>
      <c r="D237" s="41"/>
      <c r="E237" s="41"/>
      <c r="F237" s="41"/>
      <c r="G237" s="93" t="str">
        <f t="shared" si="3"/>
        <v>-</v>
      </c>
      <c r="H237" s="10" t="str">
        <f ca="1">IF(OR(A237="",B237=""),"",IF(EOMONTH(DATE(A237,MATCH(B237,{"Januar","Februar","März","April","Mai","Juni","Juli","August","September","Oktober","November","Dezember"},0),1),0)&lt;=TODAY()-Steuerung!$C$27,"Reif","Frisch"))</f>
        <v/>
      </c>
    </row>
    <row r="238" spans="1:8" ht="15" hidden="1" customHeight="1" x14ac:dyDescent="0.25">
      <c r="A238" s="37"/>
      <c r="B238" s="37"/>
      <c r="C238" s="37"/>
      <c r="D238" s="37"/>
      <c r="E238" s="37"/>
      <c r="F238" s="37"/>
      <c r="G238" s="91" t="str">
        <f t="shared" si="3"/>
        <v>-</v>
      </c>
      <c r="H238" s="14" t="str">
        <f ca="1">IF(OR(A238="",B238=""),"",IF(EOMONTH(DATE(A238,MATCH(B238,{"Januar","Februar","März","April","Mai","Juni","Juli","August","September","Oktober","November","Dezember"},0),1),0)&lt;=TODAY()-Steuerung!$C$27,"Reif","Frisch"))</f>
        <v/>
      </c>
    </row>
    <row r="239" spans="1:8" ht="15" hidden="1" customHeight="1" x14ac:dyDescent="0.25">
      <c r="A239" s="41"/>
      <c r="B239" s="41"/>
      <c r="C239" s="41"/>
      <c r="D239" s="41"/>
      <c r="E239" s="41"/>
      <c r="F239" s="41"/>
      <c r="G239" s="93" t="str">
        <f t="shared" si="3"/>
        <v>-</v>
      </c>
      <c r="H239" s="10" t="str">
        <f ca="1">IF(OR(A239="",B239=""),"",IF(EOMONTH(DATE(A239,MATCH(B239,{"Januar","Februar","März","April","Mai","Juni","Juli","August","September","Oktober","November","Dezember"},0),1),0)&lt;=TODAY()-Steuerung!$C$27,"Reif","Frisch"))</f>
        <v/>
      </c>
    </row>
    <row r="240" spans="1:8" ht="15" hidden="1" customHeight="1" x14ac:dyDescent="0.25">
      <c r="A240" s="37"/>
      <c r="B240" s="37"/>
      <c r="C240" s="37"/>
      <c r="D240" s="37"/>
      <c r="E240" s="37"/>
      <c r="F240" s="37"/>
      <c r="G240" s="91" t="str">
        <f t="shared" si="3"/>
        <v>-</v>
      </c>
      <c r="H240" s="14" t="str">
        <f ca="1">IF(OR(A240="",B240=""),"",IF(EOMONTH(DATE(A240,MATCH(B240,{"Januar","Februar","März","April","Mai","Juni","Juli","August","September","Oktober","November","Dezember"},0),1),0)&lt;=TODAY()-Steuerung!$C$27,"Reif","Frisch"))</f>
        <v/>
      </c>
    </row>
    <row r="241" spans="1:8" ht="15" hidden="1" customHeight="1" x14ac:dyDescent="0.25">
      <c r="A241" s="41"/>
      <c r="B241" s="41"/>
      <c r="C241" s="41"/>
      <c r="D241" s="41"/>
      <c r="E241" s="41"/>
      <c r="F241" s="41"/>
      <c r="G241" s="93" t="str">
        <f t="shared" si="3"/>
        <v>-</v>
      </c>
      <c r="H241" s="10" t="str">
        <f ca="1">IF(OR(A241="",B241=""),"",IF(EOMONTH(DATE(A241,MATCH(B241,{"Januar","Februar","März","April","Mai","Juni","Juli","August","September","Oktober","November","Dezember"},0),1),0)&lt;=TODAY()-Steuerung!$C$27,"Reif","Frisch"))</f>
        <v/>
      </c>
    </row>
    <row r="242" spans="1:8" ht="15" hidden="1" customHeight="1" x14ac:dyDescent="0.25">
      <c r="A242" s="37"/>
      <c r="B242" s="37"/>
      <c r="C242" s="37"/>
      <c r="D242" s="37"/>
      <c r="E242" s="37"/>
      <c r="F242" s="37"/>
      <c r="G242" s="91" t="str">
        <f t="shared" si="3"/>
        <v>-</v>
      </c>
      <c r="H242" s="14" t="str">
        <f ca="1">IF(OR(A242="",B242=""),"",IF(EOMONTH(DATE(A242,MATCH(B242,{"Januar","Februar","März","April","Mai","Juni","Juli","August","September","Oktober","November","Dezember"},0),1),0)&lt;=TODAY()-Steuerung!$C$27,"Reif","Frisch"))</f>
        <v/>
      </c>
    </row>
    <row r="243" spans="1:8" ht="15" hidden="1" customHeight="1" x14ac:dyDescent="0.25">
      <c r="A243" s="41"/>
      <c r="B243" s="41"/>
      <c r="C243" s="41"/>
      <c r="D243" s="41"/>
      <c r="E243" s="41"/>
      <c r="F243" s="41"/>
      <c r="G243" s="93" t="str">
        <f t="shared" si="3"/>
        <v>-</v>
      </c>
      <c r="H243" s="10" t="str">
        <f ca="1">IF(OR(A243="",B243=""),"",IF(EOMONTH(DATE(A243,MATCH(B243,{"Januar","Februar","März","April","Mai","Juni","Juli","August","September","Oktober","November","Dezember"},0),1),0)&lt;=TODAY()-Steuerung!$C$27,"Reif","Frisch"))</f>
        <v/>
      </c>
    </row>
    <row r="244" spans="1:8" ht="15" hidden="1" customHeight="1" x14ac:dyDescent="0.25">
      <c r="A244" s="37"/>
      <c r="B244" s="37"/>
      <c r="C244" s="37"/>
      <c r="D244" s="37"/>
      <c r="E244" s="37"/>
      <c r="F244" s="37"/>
      <c r="G244" s="91" t="str">
        <f t="shared" si="3"/>
        <v>-</v>
      </c>
      <c r="H244" s="14" t="str">
        <f ca="1">IF(OR(A244="",B244=""),"",IF(EOMONTH(DATE(A244,MATCH(B244,{"Januar","Februar","März","April","Mai","Juni","Juli","August","September","Oktober","November","Dezember"},0),1),0)&lt;=TODAY()-Steuerung!$C$27,"Reif","Frisch"))</f>
        <v/>
      </c>
    </row>
    <row r="245" spans="1:8" ht="15" hidden="1" customHeight="1" x14ac:dyDescent="0.25">
      <c r="A245" s="41"/>
      <c r="B245" s="41"/>
      <c r="C245" s="41"/>
      <c r="D245" s="41"/>
      <c r="E245" s="41"/>
      <c r="F245" s="41"/>
      <c r="G245" s="93" t="str">
        <f t="shared" si="3"/>
        <v>-</v>
      </c>
      <c r="H245" s="10" t="str">
        <f ca="1">IF(OR(A245="",B245=""),"",IF(EOMONTH(DATE(A245,MATCH(B245,{"Januar","Februar","März","April","Mai","Juni","Juli","August","September","Oktober","November","Dezember"},0),1),0)&lt;=TODAY()-Steuerung!$C$27,"Reif","Frisch"))</f>
        <v/>
      </c>
    </row>
    <row r="246" spans="1:8" ht="15" hidden="1" customHeight="1" x14ac:dyDescent="0.25">
      <c r="A246" s="37"/>
      <c r="B246" s="37"/>
      <c r="C246" s="37"/>
      <c r="D246" s="37"/>
      <c r="E246" s="37"/>
      <c r="F246" s="37"/>
      <c r="G246" s="91" t="str">
        <f t="shared" si="3"/>
        <v>-</v>
      </c>
      <c r="H246" s="14" t="str">
        <f ca="1">IF(OR(A246="",B246=""),"",IF(EOMONTH(DATE(A246,MATCH(B246,{"Januar","Februar","März","April","Mai","Juni","Juli","August","September","Oktober","November","Dezember"},0),1),0)&lt;=TODAY()-Steuerung!$C$27,"Reif","Frisch"))</f>
        <v/>
      </c>
    </row>
    <row r="247" spans="1:8" ht="15" hidden="1" customHeight="1" x14ac:dyDescent="0.25">
      <c r="A247" s="41"/>
      <c r="B247" s="41"/>
      <c r="C247" s="41"/>
      <c r="D247" s="41"/>
      <c r="E247" s="41"/>
      <c r="F247" s="41"/>
      <c r="G247" s="93" t="str">
        <f t="shared" si="3"/>
        <v>-</v>
      </c>
      <c r="H247" s="10" t="str">
        <f ca="1">IF(OR(A247="",B247=""),"",IF(EOMONTH(DATE(A247,MATCH(B247,{"Januar","Februar","März","April","Mai","Juni","Juli","August","September","Oktober","November","Dezember"},0),1),0)&lt;=TODAY()-Steuerung!$C$27,"Reif","Frisch"))</f>
        <v/>
      </c>
    </row>
    <row r="248" spans="1:8" ht="15" hidden="1" customHeight="1" x14ac:dyDescent="0.25">
      <c r="A248" s="37"/>
      <c r="B248" s="37"/>
      <c r="C248" s="37"/>
      <c r="D248" s="37"/>
      <c r="E248" s="37"/>
      <c r="F248" s="37"/>
      <c r="G248" s="91" t="str">
        <f t="shared" si="3"/>
        <v>-</v>
      </c>
      <c r="H248" s="14" t="str">
        <f ca="1">IF(OR(A248="",B248=""),"",IF(EOMONTH(DATE(A248,MATCH(B248,{"Januar","Februar","März","April","Mai","Juni","Juli","August","September","Oktober","November","Dezember"},0),1),0)&lt;=TODAY()-Steuerung!$C$27,"Reif","Frisch"))</f>
        <v/>
      </c>
    </row>
    <row r="249" spans="1:8" ht="15" hidden="1" customHeight="1" x14ac:dyDescent="0.25">
      <c r="A249" s="41"/>
      <c r="B249" s="41"/>
      <c r="C249" s="41"/>
      <c r="D249" s="41"/>
      <c r="E249" s="41"/>
      <c r="F249" s="41"/>
      <c r="G249" s="93" t="str">
        <f t="shared" si="3"/>
        <v>-</v>
      </c>
      <c r="H249" s="10" t="str">
        <f ca="1">IF(OR(A249="",B249=""),"",IF(EOMONTH(DATE(A249,MATCH(B249,{"Januar","Februar","März","April","Mai","Juni","Juli","August","September","Oktober","November","Dezember"},0),1),0)&lt;=TODAY()-Steuerung!$C$27,"Reif","Frisch"))</f>
        <v/>
      </c>
    </row>
    <row r="250" spans="1:8" ht="15" hidden="1" customHeight="1" x14ac:dyDescent="0.25">
      <c r="A250" s="37"/>
      <c r="B250" s="37"/>
      <c r="C250" s="37"/>
      <c r="D250" s="37"/>
      <c r="E250" s="37"/>
      <c r="F250" s="37"/>
      <c r="G250" s="91" t="str">
        <f t="shared" si="3"/>
        <v>-</v>
      </c>
      <c r="H250" s="14" t="str">
        <f ca="1">IF(OR(A250="",B250=""),"",IF(EOMONTH(DATE(A250,MATCH(B250,{"Januar","Februar","März","April","Mai","Juni","Juli","August","September","Oktober","November","Dezember"},0),1),0)&lt;=TODAY()-Steuerung!$C$27,"Reif","Frisch"))</f>
        <v/>
      </c>
    </row>
    <row r="251" spans="1:8" ht="15" hidden="1" customHeight="1" x14ac:dyDescent="0.25">
      <c r="A251" s="41"/>
      <c r="B251" s="41"/>
      <c r="C251" s="41"/>
      <c r="D251" s="41"/>
      <c r="E251" s="41"/>
      <c r="F251" s="41"/>
      <c r="G251" s="93" t="str">
        <f t="shared" si="3"/>
        <v>-</v>
      </c>
      <c r="H251" s="10" t="str">
        <f ca="1">IF(OR(A251="",B251=""),"",IF(EOMONTH(DATE(A251,MATCH(B251,{"Januar","Februar","März","April","Mai","Juni","Juli","August","September","Oktober","November","Dezember"},0),1),0)&lt;=TODAY()-Steuerung!$C$27,"Reif","Frisch"))</f>
        <v/>
      </c>
    </row>
    <row r="252" spans="1:8" ht="15" hidden="1" customHeight="1" x14ac:dyDescent="0.25">
      <c r="A252" s="37"/>
      <c r="B252" s="37"/>
      <c r="C252" s="37"/>
      <c r="D252" s="37"/>
      <c r="E252" s="37"/>
      <c r="F252" s="37"/>
      <c r="G252" s="91" t="str">
        <f t="shared" si="3"/>
        <v>-</v>
      </c>
      <c r="H252" s="14" t="str">
        <f ca="1">IF(OR(A252="",B252=""),"",IF(EOMONTH(DATE(A252,MATCH(B252,{"Januar","Februar","März","April","Mai","Juni","Juli","August","September","Oktober","November","Dezember"},0),1),0)&lt;=TODAY()-Steuerung!$C$27,"Reif","Frisch"))</f>
        <v/>
      </c>
    </row>
    <row r="253" spans="1:8" ht="15" hidden="1" customHeight="1" x14ac:dyDescent="0.25">
      <c r="A253" s="41"/>
      <c r="B253" s="41"/>
      <c r="C253" s="41"/>
      <c r="D253" s="41"/>
      <c r="E253" s="41"/>
      <c r="F253" s="41"/>
      <c r="G253" s="93" t="str">
        <f t="shared" si="3"/>
        <v>-</v>
      </c>
      <c r="H253" s="10" t="str">
        <f ca="1">IF(OR(A253="",B253=""),"",IF(EOMONTH(DATE(A253,MATCH(B253,{"Januar","Februar","März","April","Mai","Juni","Juli","August","September","Oktober","November","Dezember"},0),1),0)&lt;=TODAY()-Steuerung!$C$27,"Reif","Frisch"))</f>
        <v/>
      </c>
    </row>
    <row r="254" spans="1:8" ht="15" hidden="1" customHeight="1" x14ac:dyDescent="0.25">
      <c r="A254" s="37"/>
      <c r="B254" s="37"/>
      <c r="C254" s="37"/>
      <c r="D254" s="37"/>
      <c r="E254" s="37"/>
      <c r="F254" s="37"/>
      <c r="G254" s="91" t="str">
        <f t="shared" si="3"/>
        <v>-</v>
      </c>
      <c r="H254" s="14" t="str">
        <f ca="1">IF(OR(A254="",B254=""),"",IF(EOMONTH(DATE(A254,MATCH(B254,{"Januar","Februar","März","April","Mai","Juni","Juli","August","September","Oktober","November","Dezember"},0),1),0)&lt;=TODAY()-Steuerung!$C$27,"Reif","Frisch"))</f>
        <v/>
      </c>
    </row>
    <row r="255" spans="1:8" ht="15" hidden="1" customHeight="1" x14ac:dyDescent="0.25">
      <c r="A255" s="41"/>
      <c r="B255" s="41"/>
      <c r="C255" s="41"/>
      <c r="D255" s="41"/>
      <c r="E255" s="41"/>
      <c r="F255" s="41"/>
      <c r="G255" s="93" t="str">
        <f t="shared" si="3"/>
        <v>-</v>
      </c>
      <c r="H255" s="10" t="str">
        <f ca="1">IF(OR(A255="",B255=""),"",IF(EOMONTH(DATE(A255,MATCH(B255,{"Januar","Februar","März","April","Mai","Juni","Juli","August","September","Oktober","November","Dezember"},0),1),0)&lt;=TODAY()-Steuerung!$C$27,"Reif","Frisch"))</f>
        <v/>
      </c>
    </row>
    <row r="256" spans="1:8" ht="15" hidden="1" customHeight="1" x14ac:dyDescent="0.25">
      <c r="A256" s="37"/>
      <c r="B256" s="37"/>
      <c r="C256" s="37"/>
      <c r="D256" s="37"/>
      <c r="E256" s="37"/>
      <c r="F256" s="37"/>
      <c r="G256" s="91" t="str">
        <f t="shared" si="3"/>
        <v>-</v>
      </c>
      <c r="H256" s="14" t="str">
        <f ca="1">IF(OR(A256="",B256=""),"",IF(EOMONTH(DATE(A256,MATCH(B256,{"Januar","Februar","März","April","Mai","Juni","Juli","August","September","Oktober","November","Dezember"},0),1),0)&lt;=TODAY()-Steuerung!$C$27,"Reif","Frisch"))</f>
        <v/>
      </c>
    </row>
    <row r="257" spans="1:8" ht="15" hidden="1" customHeight="1" x14ac:dyDescent="0.25">
      <c r="A257" s="41"/>
      <c r="B257" s="41"/>
      <c r="C257" s="41"/>
      <c r="D257" s="41"/>
      <c r="E257" s="41"/>
      <c r="F257" s="41"/>
      <c r="G257" s="93" t="str">
        <f t="shared" si="3"/>
        <v>-</v>
      </c>
      <c r="H257" s="10" t="str">
        <f ca="1">IF(OR(A257="",B257=""),"",IF(EOMONTH(DATE(A257,MATCH(B257,{"Januar","Februar","März","April","Mai","Juni","Juli","August","September","Oktober","November","Dezember"},0),1),0)&lt;=TODAY()-Steuerung!$C$27,"Reif","Frisch"))</f>
        <v/>
      </c>
    </row>
    <row r="258" spans="1:8" ht="15" hidden="1" customHeight="1" x14ac:dyDescent="0.25">
      <c r="A258" s="37"/>
      <c r="B258" s="37"/>
      <c r="C258" s="37"/>
      <c r="D258" s="37"/>
      <c r="E258" s="37"/>
      <c r="F258" s="37"/>
      <c r="G258" s="91" t="str">
        <f t="shared" si="3"/>
        <v>-</v>
      </c>
      <c r="H258" s="14" t="str">
        <f ca="1">IF(OR(A258="",B258=""),"",IF(EOMONTH(DATE(A258,MATCH(B258,{"Januar","Februar","März","April","Mai","Juni","Juli","August","September","Oktober","November","Dezember"},0),1),0)&lt;=TODAY()-Steuerung!$C$27,"Reif","Frisch"))</f>
        <v/>
      </c>
    </row>
    <row r="259" spans="1:8" ht="15" hidden="1" customHeight="1" x14ac:dyDescent="0.25">
      <c r="A259" s="41"/>
      <c r="B259" s="41"/>
      <c r="C259" s="41"/>
      <c r="D259" s="41"/>
      <c r="E259" s="41"/>
      <c r="F259" s="41"/>
      <c r="G259" s="93" t="str">
        <f t="shared" si="3"/>
        <v>-</v>
      </c>
      <c r="H259" s="10" t="str">
        <f ca="1">IF(OR(A259="",B259=""),"",IF(EOMONTH(DATE(A259,MATCH(B259,{"Januar","Februar","März","April","Mai","Juni","Juli","August","September","Oktober","November","Dezember"},0),1),0)&lt;=TODAY()-Steuerung!$C$27,"Reif","Frisch"))</f>
        <v/>
      </c>
    </row>
    <row r="260" spans="1:8" ht="15" hidden="1" customHeight="1" x14ac:dyDescent="0.25">
      <c r="A260" s="37"/>
      <c r="B260" s="37"/>
      <c r="C260" s="37"/>
      <c r="D260" s="37"/>
      <c r="E260" s="37"/>
      <c r="F260" s="37"/>
      <c r="G260" s="91" t="str">
        <f t="shared" ref="G260:G323" si="4">IF(D260=0,"-",E260/D260)</f>
        <v>-</v>
      </c>
      <c r="H260" s="14" t="str">
        <f ca="1">IF(OR(A260="",B260=""),"",IF(EOMONTH(DATE(A260,MATCH(B260,{"Januar","Februar","März","April","Mai","Juni","Juli","August","September","Oktober","November","Dezember"},0),1),0)&lt;=TODAY()-Steuerung!$C$27,"Reif","Frisch"))</f>
        <v/>
      </c>
    </row>
    <row r="261" spans="1:8" ht="15" hidden="1" customHeight="1" x14ac:dyDescent="0.25">
      <c r="A261" s="41"/>
      <c r="B261" s="41"/>
      <c r="C261" s="41"/>
      <c r="D261" s="41"/>
      <c r="E261" s="41"/>
      <c r="F261" s="41"/>
      <c r="G261" s="93" t="str">
        <f t="shared" si="4"/>
        <v>-</v>
      </c>
      <c r="H261" s="10" t="str">
        <f ca="1">IF(OR(A261="",B261=""),"",IF(EOMONTH(DATE(A261,MATCH(B261,{"Januar","Februar","März","April","Mai","Juni","Juli","August","September","Oktober","November","Dezember"},0),1),0)&lt;=TODAY()-Steuerung!$C$27,"Reif","Frisch"))</f>
        <v/>
      </c>
    </row>
    <row r="262" spans="1:8" ht="15" hidden="1" customHeight="1" x14ac:dyDescent="0.25">
      <c r="A262" s="37"/>
      <c r="B262" s="37"/>
      <c r="C262" s="37"/>
      <c r="D262" s="37"/>
      <c r="E262" s="37"/>
      <c r="F262" s="37"/>
      <c r="G262" s="91" t="str">
        <f t="shared" si="4"/>
        <v>-</v>
      </c>
      <c r="H262" s="14" t="str">
        <f ca="1">IF(OR(A262="",B262=""),"",IF(EOMONTH(DATE(A262,MATCH(B262,{"Januar","Februar","März","April","Mai","Juni","Juli","August","September","Oktober","November","Dezember"},0),1),0)&lt;=TODAY()-Steuerung!$C$27,"Reif","Frisch"))</f>
        <v/>
      </c>
    </row>
    <row r="263" spans="1:8" ht="15" hidden="1" customHeight="1" x14ac:dyDescent="0.25">
      <c r="A263" s="41"/>
      <c r="B263" s="41"/>
      <c r="C263" s="41"/>
      <c r="D263" s="41"/>
      <c r="E263" s="41"/>
      <c r="F263" s="41"/>
      <c r="G263" s="93" t="str">
        <f t="shared" si="4"/>
        <v>-</v>
      </c>
      <c r="H263" s="10" t="str">
        <f ca="1">IF(OR(A263="",B263=""),"",IF(EOMONTH(DATE(A263,MATCH(B263,{"Januar","Februar","März","April","Mai","Juni","Juli","August","September","Oktober","November","Dezember"},0),1),0)&lt;=TODAY()-Steuerung!$C$27,"Reif","Frisch"))</f>
        <v/>
      </c>
    </row>
    <row r="264" spans="1:8" ht="15" hidden="1" customHeight="1" x14ac:dyDescent="0.25">
      <c r="A264" s="37"/>
      <c r="B264" s="37"/>
      <c r="C264" s="37"/>
      <c r="D264" s="37"/>
      <c r="E264" s="37"/>
      <c r="F264" s="37"/>
      <c r="G264" s="91" t="str">
        <f t="shared" si="4"/>
        <v>-</v>
      </c>
      <c r="H264" s="14" t="str">
        <f ca="1">IF(OR(A264="",B264=""),"",IF(EOMONTH(DATE(A264,MATCH(B264,{"Januar","Februar","März","April","Mai","Juni","Juli","August","September","Oktober","November","Dezember"},0),1),0)&lt;=TODAY()-Steuerung!$C$27,"Reif","Frisch"))</f>
        <v/>
      </c>
    </row>
    <row r="265" spans="1:8" ht="15" hidden="1" customHeight="1" x14ac:dyDescent="0.25">
      <c r="A265" s="41"/>
      <c r="B265" s="41"/>
      <c r="C265" s="41"/>
      <c r="D265" s="41"/>
      <c r="E265" s="41"/>
      <c r="F265" s="41"/>
      <c r="G265" s="93" t="str">
        <f t="shared" si="4"/>
        <v>-</v>
      </c>
      <c r="H265" s="10" t="str">
        <f ca="1">IF(OR(A265="",B265=""),"",IF(EOMONTH(DATE(A265,MATCH(B265,{"Januar","Februar","März","April","Mai","Juni","Juli","August","September","Oktober","November","Dezember"},0),1),0)&lt;=TODAY()-Steuerung!$C$27,"Reif","Frisch"))</f>
        <v/>
      </c>
    </row>
    <row r="266" spans="1:8" ht="15" hidden="1" customHeight="1" x14ac:dyDescent="0.25">
      <c r="A266" s="37"/>
      <c r="B266" s="37"/>
      <c r="C266" s="37"/>
      <c r="D266" s="37"/>
      <c r="E266" s="37"/>
      <c r="F266" s="37"/>
      <c r="G266" s="91" t="str">
        <f t="shared" si="4"/>
        <v>-</v>
      </c>
      <c r="H266" s="14" t="str">
        <f ca="1">IF(OR(A266="",B266=""),"",IF(EOMONTH(DATE(A266,MATCH(B266,{"Januar","Februar","März","April","Mai","Juni","Juli","August","September","Oktober","November","Dezember"},0),1),0)&lt;=TODAY()-Steuerung!$C$27,"Reif","Frisch"))</f>
        <v/>
      </c>
    </row>
    <row r="267" spans="1:8" ht="15" hidden="1" customHeight="1" x14ac:dyDescent="0.25">
      <c r="A267" s="41"/>
      <c r="B267" s="41"/>
      <c r="C267" s="41"/>
      <c r="D267" s="41"/>
      <c r="E267" s="41"/>
      <c r="F267" s="41"/>
      <c r="G267" s="93" t="str">
        <f t="shared" si="4"/>
        <v>-</v>
      </c>
      <c r="H267" s="10" t="str">
        <f ca="1">IF(OR(A267="",B267=""),"",IF(EOMONTH(DATE(A267,MATCH(B267,{"Januar","Februar","März","April","Mai","Juni","Juli","August","September","Oktober","November","Dezember"},0),1),0)&lt;=TODAY()-Steuerung!$C$27,"Reif","Frisch"))</f>
        <v/>
      </c>
    </row>
    <row r="268" spans="1:8" ht="15" hidden="1" customHeight="1" x14ac:dyDescent="0.25">
      <c r="A268" s="37"/>
      <c r="B268" s="37"/>
      <c r="C268" s="37"/>
      <c r="D268" s="37"/>
      <c r="E268" s="37"/>
      <c r="F268" s="37"/>
      <c r="G268" s="91" t="str">
        <f t="shared" si="4"/>
        <v>-</v>
      </c>
      <c r="H268" s="14" t="str">
        <f ca="1">IF(OR(A268="",B268=""),"",IF(EOMONTH(DATE(A268,MATCH(B268,{"Januar","Februar","März","April","Mai","Juni","Juli","August","September","Oktober","November","Dezember"},0),1),0)&lt;=TODAY()-Steuerung!$C$27,"Reif","Frisch"))</f>
        <v/>
      </c>
    </row>
    <row r="269" spans="1:8" ht="15" hidden="1" customHeight="1" x14ac:dyDescent="0.25">
      <c r="A269" s="41"/>
      <c r="B269" s="41"/>
      <c r="C269" s="41"/>
      <c r="D269" s="41"/>
      <c r="E269" s="41"/>
      <c r="F269" s="41"/>
      <c r="G269" s="93" t="str">
        <f t="shared" si="4"/>
        <v>-</v>
      </c>
      <c r="H269" s="10" t="str">
        <f ca="1">IF(OR(A269="",B269=""),"",IF(EOMONTH(DATE(A269,MATCH(B269,{"Januar","Februar","März","April","Mai","Juni","Juli","August","September","Oktober","November","Dezember"},0),1),0)&lt;=TODAY()-Steuerung!$C$27,"Reif","Frisch"))</f>
        <v/>
      </c>
    </row>
    <row r="270" spans="1:8" ht="15" hidden="1" customHeight="1" x14ac:dyDescent="0.25">
      <c r="A270" s="37"/>
      <c r="B270" s="37"/>
      <c r="C270" s="37"/>
      <c r="D270" s="37"/>
      <c r="E270" s="37"/>
      <c r="F270" s="37"/>
      <c r="G270" s="91" t="str">
        <f t="shared" si="4"/>
        <v>-</v>
      </c>
      <c r="H270" s="14" t="str">
        <f ca="1">IF(OR(A270="",B270=""),"",IF(EOMONTH(DATE(A270,MATCH(B270,{"Januar","Februar","März","April","Mai","Juni","Juli","August","September","Oktober","November","Dezember"},0),1),0)&lt;=TODAY()-Steuerung!$C$27,"Reif","Frisch"))</f>
        <v/>
      </c>
    </row>
    <row r="271" spans="1:8" ht="15" hidden="1" customHeight="1" x14ac:dyDescent="0.25">
      <c r="A271" s="41"/>
      <c r="B271" s="41"/>
      <c r="C271" s="41"/>
      <c r="D271" s="41"/>
      <c r="E271" s="41"/>
      <c r="F271" s="41"/>
      <c r="G271" s="93" t="str">
        <f t="shared" si="4"/>
        <v>-</v>
      </c>
      <c r="H271" s="10" t="str">
        <f ca="1">IF(OR(A271="",B271=""),"",IF(EOMONTH(DATE(A271,MATCH(B271,{"Januar","Februar","März","April","Mai","Juni","Juli","August","September","Oktober","November","Dezember"},0),1),0)&lt;=TODAY()-Steuerung!$C$27,"Reif","Frisch"))</f>
        <v/>
      </c>
    </row>
    <row r="272" spans="1:8" ht="15" hidden="1" customHeight="1" x14ac:dyDescent="0.25">
      <c r="A272" s="37"/>
      <c r="B272" s="37"/>
      <c r="C272" s="37"/>
      <c r="D272" s="37"/>
      <c r="E272" s="37"/>
      <c r="F272" s="37"/>
      <c r="G272" s="91" t="str">
        <f t="shared" si="4"/>
        <v>-</v>
      </c>
      <c r="H272" s="14" t="str">
        <f ca="1">IF(OR(A272="",B272=""),"",IF(EOMONTH(DATE(A272,MATCH(B272,{"Januar","Februar","März","April","Mai","Juni","Juli","August","September","Oktober","November","Dezember"},0),1),0)&lt;=TODAY()-Steuerung!$C$27,"Reif","Frisch"))</f>
        <v/>
      </c>
    </row>
    <row r="273" spans="1:8" ht="15" hidden="1" customHeight="1" x14ac:dyDescent="0.25">
      <c r="A273" s="41"/>
      <c r="B273" s="41"/>
      <c r="C273" s="41"/>
      <c r="D273" s="41"/>
      <c r="E273" s="41"/>
      <c r="F273" s="41"/>
      <c r="G273" s="93" t="str">
        <f t="shared" si="4"/>
        <v>-</v>
      </c>
      <c r="H273" s="10" t="str">
        <f ca="1">IF(OR(A273="",B273=""),"",IF(EOMONTH(DATE(A273,MATCH(B273,{"Januar","Februar","März","April","Mai","Juni","Juli","August","September","Oktober","November","Dezember"},0),1),0)&lt;=TODAY()-Steuerung!$C$27,"Reif","Frisch"))</f>
        <v/>
      </c>
    </row>
    <row r="274" spans="1:8" ht="15" hidden="1" customHeight="1" x14ac:dyDescent="0.25">
      <c r="A274" s="37"/>
      <c r="B274" s="37"/>
      <c r="C274" s="37"/>
      <c r="D274" s="37"/>
      <c r="E274" s="37"/>
      <c r="F274" s="37"/>
      <c r="G274" s="91" t="str">
        <f t="shared" si="4"/>
        <v>-</v>
      </c>
      <c r="H274" s="14" t="str">
        <f ca="1">IF(OR(A274="",B274=""),"",IF(EOMONTH(DATE(A274,MATCH(B274,{"Januar","Februar","März","April","Mai","Juni","Juli","August","September","Oktober","November","Dezember"},0),1),0)&lt;=TODAY()-Steuerung!$C$27,"Reif","Frisch"))</f>
        <v/>
      </c>
    </row>
    <row r="275" spans="1:8" ht="15" hidden="1" customHeight="1" x14ac:dyDescent="0.25">
      <c r="A275" s="41"/>
      <c r="B275" s="41"/>
      <c r="C275" s="41"/>
      <c r="D275" s="41"/>
      <c r="E275" s="41"/>
      <c r="F275" s="41"/>
      <c r="G275" s="93" t="str">
        <f t="shared" si="4"/>
        <v>-</v>
      </c>
      <c r="H275" s="10" t="str">
        <f ca="1">IF(OR(A275="",B275=""),"",IF(EOMONTH(DATE(A275,MATCH(B275,{"Januar","Februar","März","April","Mai","Juni","Juli","August","September","Oktober","November","Dezember"},0),1),0)&lt;=TODAY()-Steuerung!$C$27,"Reif","Frisch"))</f>
        <v/>
      </c>
    </row>
    <row r="276" spans="1:8" ht="15" hidden="1" customHeight="1" x14ac:dyDescent="0.25">
      <c r="A276" s="37"/>
      <c r="B276" s="37"/>
      <c r="C276" s="37"/>
      <c r="D276" s="37"/>
      <c r="E276" s="37"/>
      <c r="F276" s="37"/>
      <c r="G276" s="91" t="str">
        <f t="shared" si="4"/>
        <v>-</v>
      </c>
      <c r="H276" s="14" t="str">
        <f ca="1">IF(OR(A276="",B276=""),"",IF(EOMONTH(DATE(A276,MATCH(B276,{"Januar","Februar","März","April","Mai","Juni","Juli","August","September","Oktober","November","Dezember"},0),1),0)&lt;=TODAY()-Steuerung!$C$27,"Reif","Frisch"))</f>
        <v/>
      </c>
    </row>
    <row r="277" spans="1:8" ht="15" hidden="1" customHeight="1" x14ac:dyDescent="0.25">
      <c r="A277" s="41"/>
      <c r="B277" s="41"/>
      <c r="C277" s="41"/>
      <c r="D277" s="41"/>
      <c r="E277" s="41"/>
      <c r="F277" s="41"/>
      <c r="G277" s="93" t="str">
        <f t="shared" si="4"/>
        <v>-</v>
      </c>
      <c r="H277" s="10" t="str">
        <f ca="1">IF(OR(A277="",B277=""),"",IF(EOMONTH(DATE(A277,MATCH(B277,{"Januar","Februar","März","April","Mai","Juni","Juli","August","September","Oktober","November","Dezember"},0),1),0)&lt;=TODAY()-Steuerung!$C$27,"Reif","Frisch"))</f>
        <v/>
      </c>
    </row>
    <row r="278" spans="1:8" ht="15" hidden="1" customHeight="1" x14ac:dyDescent="0.25">
      <c r="A278" s="37"/>
      <c r="B278" s="37"/>
      <c r="C278" s="37"/>
      <c r="D278" s="37"/>
      <c r="E278" s="37"/>
      <c r="F278" s="37"/>
      <c r="G278" s="91" t="str">
        <f t="shared" si="4"/>
        <v>-</v>
      </c>
      <c r="H278" s="14" t="str">
        <f ca="1">IF(OR(A278="",B278=""),"",IF(EOMONTH(DATE(A278,MATCH(B278,{"Januar","Februar","März","April","Mai","Juni","Juli","August","September","Oktober","November","Dezember"},0),1),0)&lt;=TODAY()-Steuerung!$C$27,"Reif","Frisch"))</f>
        <v/>
      </c>
    </row>
    <row r="279" spans="1:8" ht="15" hidden="1" customHeight="1" x14ac:dyDescent="0.25">
      <c r="A279" s="41"/>
      <c r="B279" s="41"/>
      <c r="C279" s="41"/>
      <c r="D279" s="41"/>
      <c r="E279" s="41"/>
      <c r="F279" s="41"/>
      <c r="G279" s="93" t="str">
        <f t="shared" si="4"/>
        <v>-</v>
      </c>
      <c r="H279" s="10" t="str">
        <f ca="1">IF(OR(A279="",B279=""),"",IF(EOMONTH(DATE(A279,MATCH(B279,{"Januar","Februar","März","April","Mai","Juni","Juli","August","September","Oktober","November","Dezember"},0),1),0)&lt;=TODAY()-Steuerung!$C$27,"Reif","Frisch"))</f>
        <v/>
      </c>
    </row>
    <row r="280" spans="1:8" ht="15" hidden="1" customHeight="1" x14ac:dyDescent="0.25">
      <c r="A280" s="37"/>
      <c r="B280" s="37"/>
      <c r="C280" s="37"/>
      <c r="D280" s="37"/>
      <c r="E280" s="37"/>
      <c r="F280" s="37"/>
      <c r="G280" s="91" t="str">
        <f t="shared" si="4"/>
        <v>-</v>
      </c>
      <c r="H280" s="14" t="str">
        <f ca="1">IF(OR(A280="",B280=""),"",IF(EOMONTH(DATE(A280,MATCH(B280,{"Januar","Februar","März","April","Mai","Juni","Juli","August","September","Oktober","November","Dezember"},0),1),0)&lt;=TODAY()-Steuerung!$C$27,"Reif","Frisch"))</f>
        <v/>
      </c>
    </row>
    <row r="281" spans="1:8" ht="15" hidden="1" customHeight="1" x14ac:dyDescent="0.25">
      <c r="A281" s="41"/>
      <c r="B281" s="41"/>
      <c r="C281" s="41"/>
      <c r="D281" s="41"/>
      <c r="E281" s="41"/>
      <c r="F281" s="41"/>
      <c r="G281" s="93" t="str">
        <f t="shared" si="4"/>
        <v>-</v>
      </c>
      <c r="H281" s="10" t="str">
        <f ca="1">IF(OR(A281="",B281=""),"",IF(EOMONTH(DATE(A281,MATCH(B281,{"Januar","Februar","März","April","Mai","Juni","Juli","August","September","Oktober","November","Dezember"},0),1),0)&lt;=TODAY()-Steuerung!$C$27,"Reif","Frisch"))</f>
        <v/>
      </c>
    </row>
    <row r="282" spans="1:8" ht="15" hidden="1" customHeight="1" x14ac:dyDescent="0.25">
      <c r="A282" s="37"/>
      <c r="B282" s="37"/>
      <c r="C282" s="37"/>
      <c r="D282" s="37"/>
      <c r="E282" s="37"/>
      <c r="F282" s="37"/>
      <c r="G282" s="91" t="str">
        <f t="shared" si="4"/>
        <v>-</v>
      </c>
      <c r="H282" s="14" t="str">
        <f ca="1">IF(OR(A282="",B282=""),"",IF(EOMONTH(DATE(A282,MATCH(B282,{"Januar","Februar","März","April","Mai","Juni","Juli","August","September","Oktober","November","Dezember"},0),1),0)&lt;=TODAY()-Steuerung!$C$27,"Reif","Frisch"))</f>
        <v/>
      </c>
    </row>
    <row r="283" spans="1:8" ht="15" hidden="1" customHeight="1" x14ac:dyDescent="0.25">
      <c r="A283" s="41"/>
      <c r="B283" s="41"/>
      <c r="C283" s="41"/>
      <c r="D283" s="41"/>
      <c r="E283" s="41"/>
      <c r="F283" s="41"/>
      <c r="G283" s="93" t="str">
        <f t="shared" si="4"/>
        <v>-</v>
      </c>
      <c r="H283" s="10" t="str">
        <f ca="1">IF(OR(A283="",B283=""),"",IF(EOMONTH(DATE(A283,MATCH(B283,{"Januar","Februar","März","April","Mai","Juni","Juli","August","September","Oktober","November","Dezember"},0),1),0)&lt;=TODAY()-Steuerung!$C$27,"Reif","Frisch"))</f>
        <v/>
      </c>
    </row>
    <row r="284" spans="1:8" ht="15" hidden="1" customHeight="1" x14ac:dyDescent="0.25">
      <c r="A284" s="37"/>
      <c r="B284" s="37"/>
      <c r="C284" s="37"/>
      <c r="D284" s="37"/>
      <c r="E284" s="37"/>
      <c r="F284" s="37"/>
      <c r="G284" s="91" t="str">
        <f t="shared" si="4"/>
        <v>-</v>
      </c>
      <c r="H284" s="14" t="str">
        <f ca="1">IF(OR(A284="",B284=""),"",IF(EOMONTH(DATE(A284,MATCH(B284,{"Januar","Februar","März","April","Mai","Juni","Juli","August","September","Oktober","November","Dezember"},0),1),0)&lt;=TODAY()-Steuerung!$C$27,"Reif","Frisch"))</f>
        <v/>
      </c>
    </row>
    <row r="285" spans="1:8" ht="15" hidden="1" customHeight="1" x14ac:dyDescent="0.25">
      <c r="A285" s="41"/>
      <c r="B285" s="41"/>
      <c r="C285" s="41"/>
      <c r="D285" s="41"/>
      <c r="E285" s="41"/>
      <c r="F285" s="41"/>
      <c r="G285" s="93" t="str">
        <f t="shared" si="4"/>
        <v>-</v>
      </c>
      <c r="H285" s="10" t="str">
        <f ca="1">IF(OR(A285="",B285=""),"",IF(EOMONTH(DATE(A285,MATCH(B285,{"Januar","Februar","März","April","Mai","Juni","Juli","August","September","Oktober","November","Dezember"},0),1),0)&lt;=TODAY()-Steuerung!$C$27,"Reif","Frisch"))</f>
        <v/>
      </c>
    </row>
    <row r="286" spans="1:8" ht="15" hidden="1" customHeight="1" x14ac:dyDescent="0.25">
      <c r="A286" s="37"/>
      <c r="B286" s="37"/>
      <c r="C286" s="37"/>
      <c r="D286" s="37"/>
      <c r="E286" s="37"/>
      <c r="F286" s="37"/>
      <c r="G286" s="91" t="str">
        <f t="shared" si="4"/>
        <v>-</v>
      </c>
      <c r="H286" s="14" t="str">
        <f ca="1">IF(OR(A286="",B286=""),"",IF(EOMONTH(DATE(A286,MATCH(B286,{"Januar","Februar","März","April","Mai","Juni","Juli","August","September","Oktober","November","Dezember"},0),1),0)&lt;=TODAY()-Steuerung!$C$27,"Reif","Frisch"))</f>
        <v/>
      </c>
    </row>
    <row r="287" spans="1:8" ht="15" hidden="1" customHeight="1" x14ac:dyDescent="0.25">
      <c r="A287" s="41"/>
      <c r="B287" s="41"/>
      <c r="C287" s="41"/>
      <c r="D287" s="41"/>
      <c r="E287" s="41"/>
      <c r="F287" s="41"/>
      <c r="G287" s="93" t="str">
        <f t="shared" si="4"/>
        <v>-</v>
      </c>
      <c r="H287" s="10" t="str">
        <f ca="1">IF(OR(A287="",B287=""),"",IF(EOMONTH(DATE(A287,MATCH(B287,{"Januar","Februar","März","April","Mai","Juni","Juli","August","September","Oktober","November","Dezember"},0),1),0)&lt;=TODAY()-Steuerung!$C$27,"Reif","Frisch"))</f>
        <v/>
      </c>
    </row>
    <row r="288" spans="1:8" ht="15" hidden="1" customHeight="1" x14ac:dyDescent="0.25">
      <c r="A288" s="37"/>
      <c r="B288" s="37"/>
      <c r="C288" s="37"/>
      <c r="D288" s="37"/>
      <c r="E288" s="37"/>
      <c r="F288" s="37"/>
      <c r="G288" s="91" t="str">
        <f t="shared" si="4"/>
        <v>-</v>
      </c>
      <c r="H288" s="14" t="str">
        <f ca="1">IF(OR(A288="",B288=""),"",IF(EOMONTH(DATE(A288,MATCH(B288,{"Januar","Februar","März","April","Mai","Juni","Juli","August","September","Oktober","November","Dezember"},0),1),0)&lt;=TODAY()-Steuerung!$C$27,"Reif","Frisch"))</f>
        <v/>
      </c>
    </row>
    <row r="289" spans="1:8" ht="15" hidden="1" customHeight="1" x14ac:dyDescent="0.25">
      <c r="A289" s="41"/>
      <c r="B289" s="41"/>
      <c r="C289" s="41"/>
      <c r="D289" s="41"/>
      <c r="E289" s="41"/>
      <c r="F289" s="41"/>
      <c r="G289" s="93" t="str">
        <f t="shared" si="4"/>
        <v>-</v>
      </c>
      <c r="H289" s="10" t="str">
        <f ca="1">IF(OR(A289="",B289=""),"",IF(EOMONTH(DATE(A289,MATCH(B289,{"Januar","Februar","März","April","Mai","Juni","Juli","August","September","Oktober","November","Dezember"},0),1),0)&lt;=TODAY()-Steuerung!$C$27,"Reif","Frisch"))</f>
        <v/>
      </c>
    </row>
    <row r="290" spans="1:8" ht="15" hidden="1" customHeight="1" x14ac:dyDescent="0.25">
      <c r="A290" s="37"/>
      <c r="B290" s="37"/>
      <c r="C290" s="37"/>
      <c r="D290" s="37"/>
      <c r="E290" s="37"/>
      <c r="F290" s="37"/>
      <c r="G290" s="91" t="str">
        <f t="shared" si="4"/>
        <v>-</v>
      </c>
      <c r="H290" s="14" t="str">
        <f ca="1">IF(OR(A290="",B290=""),"",IF(EOMONTH(DATE(A290,MATCH(B290,{"Januar","Februar","März","April","Mai","Juni","Juli","August","September","Oktober","November","Dezember"},0),1),0)&lt;=TODAY()-Steuerung!$C$27,"Reif","Frisch"))</f>
        <v/>
      </c>
    </row>
    <row r="291" spans="1:8" ht="15" hidden="1" customHeight="1" x14ac:dyDescent="0.25">
      <c r="A291" s="41"/>
      <c r="B291" s="41"/>
      <c r="C291" s="41"/>
      <c r="D291" s="41"/>
      <c r="E291" s="41"/>
      <c r="F291" s="41"/>
      <c r="G291" s="93" t="str">
        <f t="shared" si="4"/>
        <v>-</v>
      </c>
      <c r="H291" s="10" t="str">
        <f ca="1">IF(OR(A291="",B291=""),"",IF(EOMONTH(DATE(A291,MATCH(B291,{"Januar","Februar","März","April","Mai","Juni","Juli","August","September","Oktober","November","Dezember"},0),1),0)&lt;=TODAY()-Steuerung!$C$27,"Reif","Frisch"))</f>
        <v/>
      </c>
    </row>
    <row r="292" spans="1:8" ht="15" hidden="1" customHeight="1" x14ac:dyDescent="0.25">
      <c r="A292" s="37"/>
      <c r="B292" s="37"/>
      <c r="C292" s="37"/>
      <c r="D292" s="37"/>
      <c r="E292" s="37"/>
      <c r="F292" s="37"/>
      <c r="G292" s="91" t="str">
        <f t="shared" si="4"/>
        <v>-</v>
      </c>
      <c r="H292" s="14" t="str">
        <f ca="1">IF(OR(A292="",B292=""),"",IF(EOMONTH(DATE(A292,MATCH(B292,{"Januar","Februar","März","April","Mai","Juni","Juli","August","September","Oktober","November","Dezember"},0),1),0)&lt;=TODAY()-Steuerung!$C$27,"Reif","Frisch"))</f>
        <v/>
      </c>
    </row>
    <row r="293" spans="1:8" ht="15" hidden="1" customHeight="1" x14ac:dyDescent="0.25">
      <c r="A293" s="41"/>
      <c r="B293" s="41"/>
      <c r="C293" s="41"/>
      <c r="D293" s="41"/>
      <c r="E293" s="41"/>
      <c r="F293" s="41"/>
      <c r="G293" s="93" t="str">
        <f t="shared" si="4"/>
        <v>-</v>
      </c>
      <c r="H293" s="10" t="str">
        <f ca="1">IF(OR(A293="",B293=""),"",IF(EOMONTH(DATE(A293,MATCH(B293,{"Januar","Februar","März","April","Mai","Juni","Juli","August","September","Oktober","November","Dezember"},0),1),0)&lt;=TODAY()-Steuerung!$C$27,"Reif","Frisch"))</f>
        <v/>
      </c>
    </row>
    <row r="294" spans="1:8" ht="15" hidden="1" customHeight="1" x14ac:dyDescent="0.25">
      <c r="A294" s="37"/>
      <c r="B294" s="37"/>
      <c r="C294" s="37"/>
      <c r="D294" s="37"/>
      <c r="E294" s="37"/>
      <c r="F294" s="37"/>
      <c r="G294" s="91" t="str">
        <f t="shared" si="4"/>
        <v>-</v>
      </c>
      <c r="H294" s="14" t="str">
        <f ca="1">IF(OR(A294="",B294=""),"",IF(EOMONTH(DATE(A294,MATCH(B294,{"Januar","Februar","März","April","Mai","Juni","Juli","August","September","Oktober","November","Dezember"},0),1),0)&lt;=TODAY()-Steuerung!$C$27,"Reif","Frisch"))</f>
        <v/>
      </c>
    </row>
    <row r="295" spans="1:8" ht="15" hidden="1" customHeight="1" x14ac:dyDescent="0.25">
      <c r="A295" s="41"/>
      <c r="B295" s="41"/>
      <c r="C295" s="41"/>
      <c r="D295" s="41"/>
      <c r="E295" s="41"/>
      <c r="F295" s="41"/>
      <c r="G295" s="93" t="str">
        <f t="shared" si="4"/>
        <v>-</v>
      </c>
      <c r="H295" s="10" t="str">
        <f ca="1">IF(OR(A295="",B295=""),"",IF(EOMONTH(DATE(A295,MATCH(B295,{"Januar","Februar","März","April","Mai","Juni","Juli","August","September","Oktober","November","Dezember"},0),1),0)&lt;=TODAY()-Steuerung!$C$27,"Reif","Frisch"))</f>
        <v/>
      </c>
    </row>
    <row r="296" spans="1:8" ht="15" hidden="1" customHeight="1" x14ac:dyDescent="0.25">
      <c r="A296" s="37"/>
      <c r="B296" s="37"/>
      <c r="C296" s="37"/>
      <c r="D296" s="37"/>
      <c r="E296" s="37"/>
      <c r="F296" s="37"/>
      <c r="G296" s="91" t="str">
        <f t="shared" si="4"/>
        <v>-</v>
      </c>
      <c r="H296" s="14" t="str">
        <f ca="1">IF(OR(A296="",B296=""),"",IF(EOMONTH(DATE(A296,MATCH(B296,{"Januar","Februar","März","April","Mai","Juni","Juli","August","September","Oktober","November","Dezember"},0),1),0)&lt;=TODAY()-Steuerung!$C$27,"Reif","Frisch"))</f>
        <v/>
      </c>
    </row>
    <row r="297" spans="1:8" ht="15" hidden="1" customHeight="1" x14ac:dyDescent="0.25">
      <c r="A297" s="41"/>
      <c r="B297" s="41"/>
      <c r="C297" s="41"/>
      <c r="D297" s="41"/>
      <c r="E297" s="41"/>
      <c r="F297" s="41"/>
      <c r="G297" s="93" t="str">
        <f t="shared" si="4"/>
        <v>-</v>
      </c>
      <c r="H297" s="10" t="str">
        <f ca="1">IF(OR(A297="",B297=""),"",IF(EOMONTH(DATE(A297,MATCH(B297,{"Januar","Februar","März","April","Mai","Juni","Juli","August","September","Oktober","November","Dezember"},0),1),0)&lt;=TODAY()-Steuerung!$C$27,"Reif","Frisch"))</f>
        <v/>
      </c>
    </row>
    <row r="298" spans="1:8" ht="15" hidden="1" customHeight="1" x14ac:dyDescent="0.25">
      <c r="A298" s="37"/>
      <c r="B298" s="37"/>
      <c r="C298" s="37"/>
      <c r="D298" s="37"/>
      <c r="E298" s="37"/>
      <c r="F298" s="37"/>
      <c r="G298" s="91" t="str">
        <f t="shared" si="4"/>
        <v>-</v>
      </c>
      <c r="H298" s="14" t="str">
        <f ca="1">IF(OR(A298="",B298=""),"",IF(EOMONTH(DATE(A298,MATCH(B298,{"Januar","Februar","März","April","Mai","Juni","Juli","August","September","Oktober","November","Dezember"},0),1),0)&lt;=TODAY()-Steuerung!$C$27,"Reif","Frisch"))</f>
        <v/>
      </c>
    </row>
    <row r="299" spans="1:8" ht="15" hidden="1" customHeight="1" x14ac:dyDescent="0.25">
      <c r="A299" s="41"/>
      <c r="B299" s="41"/>
      <c r="C299" s="41"/>
      <c r="D299" s="41"/>
      <c r="E299" s="41"/>
      <c r="F299" s="41"/>
      <c r="G299" s="93" t="str">
        <f t="shared" si="4"/>
        <v>-</v>
      </c>
      <c r="H299" s="10" t="str">
        <f ca="1">IF(OR(A299="",B299=""),"",IF(EOMONTH(DATE(A299,MATCH(B299,{"Januar","Februar","März","April","Mai","Juni","Juli","August","September","Oktober","November","Dezember"},0),1),0)&lt;=TODAY()-Steuerung!$C$27,"Reif","Frisch"))</f>
        <v/>
      </c>
    </row>
    <row r="300" spans="1:8" ht="15" hidden="1" customHeight="1" x14ac:dyDescent="0.25">
      <c r="A300" s="37"/>
      <c r="B300" s="37"/>
      <c r="C300" s="37"/>
      <c r="D300" s="37"/>
      <c r="E300" s="37"/>
      <c r="F300" s="37"/>
      <c r="G300" s="91" t="str">
        <f t="shared" si="4"/>
        <v>-</v>
      </c>
      <c r="H300" s="14" t="str">
        <f ca="1">IF(OR(A300="",B300=""),"",IF(EOMONTH(DATE(A300,MATCH(B300,{"Januar","Februar","März","April","Mai","Juni","Juli","August","September","Oktober","November","Dezember"},0),1),0)&lt;=TODAY()-Steuerung!$C$27,"Reif","Frisch"))</f>
        <v/>
      </c>
    </row>
    <row r="301" spans="1:8" ht="15" hidden="1" customHeight="1" x14ac:dyDescent="0.25">
      <c r="A301" s="41"/>
      <c r="B301" s="41"/>
      <c r="C301" s="41"/>
      <c r="D301" s="41"/>
      <c r="E301" s="41"/>
      <c r="F301" s="41"/>
      <c r="G301" s="93" t="str">
        <f t="shared" si="4"/>
        <v>-</v>
      </c>
      <c r="H301" s="10" t="str">
        <f ca="1">IF(OR(A301="",B301=""),"",IF(EOMONTH(DATE(A301,MATCH(B301,{"Januar","Februar","März","April","Mai","Juni","Juli","August","September","Oktober","November","Dezember"},0),1),0)&lt;=TODAY()-Steuerung!$C$27,"Reif","Frisch"))</f>
        <v/>
      </c>
    </row>
    <row r="302" spans="1:8" ht="15" hidden="1" customHeight="1" x14ac:dyDescent="0.25">
      <c r="A302" s="37"/>
      <c r="B302" s="37"/>
      <c r="C302" s="37"/>
      <c r="D302" s="37"/>
      <c r="E302" s="37"/>
      <c r="F302" s="37"/>
      <c r="G302" s="91" t="str">
        <f t="shared" si="4"/>
        <v>-</v>
      </c>
      <c r="H302" s="14" t="str">
        <f ca="1">IF(OR(A302="",B302=""),"",IF(EOMONTH(DATE(A302,MATCH(B302,{"Januar","Februar","März","April","Mai","Juni","Juli","August","September","Oktober","November","Dezember"},0),1),0)&lt;=TODAY()-Steuerung!$C$27,"Reif","Frisch"))</f>
        <v/>
      </c>
    </row>
    <row r="303" spans="1:8" ht="15" hidden="1" customHeight="1" x14ac:dyDescent="0.25">
      <c r="A303" s="41"/>
      <c r="B303" s="41"/>
      <c r="C303" s="41"/>
      <c r="D303" s="41"/>
      <c r="E303" s="41"/>
      <c r="F303" s="41"/>
      <c r="G303" s="93" t="str">
        <f t="shared" si="4"/>
        <v>-</v>
      </c>
      <c r="H303" s="10" t="str">
        <f ca="1">IF(OR(A303="",B303=""),"",IF(EOMONTH(DATE(A303,MATCH(B303,{"Januar","Februar","März","April","Mai","Juni","Juli","August","September","Oktober","November","Dezember"},0),1),0)&lt;=TODAY()-Steuerung!$C$27,"Reif","Frisch"))</f>
        <v/>
      </c>
    </row>
    <row r="304" spans="1:8" ht="15" hidden="1" customHeight="1" x14ac:dyDescent="0.25">
      <c r="A304" s="37"/>
      <c r="B304" s="37"/>
      <c r="C304" s="37"/>
      <c r="D304" s="37"/>
      <c r="E304" s="37"/>
      <c r="F304" s="37"/>
      <c r="G304" s="91" t="str">
        <f t="shared" si="4"/>
        <v>-</v>
      </c>
      <c r="H304" s="14" t="str">
        <f ca="1">IF(OR(A304="",B304=""),"",IF(EOMONTH(DATE(A304,MATCH(B304,{"Januar","Februar","März","April","Mai","Juni","Juli","August","September","Oktober","November","Dezember"},0),1),0)&lt;=TODAY()-Steuerung!$C$27,"Reif","Frisch"))</f>
        <v/>
      </c>
    </row>
    <row r="305" spans="1:8" ht="15" hidden="1" customHeight="1" x14ac:dyDescent="0.25">
      <c r="A305" s="41"/>
      <c r="B305" s="41"/>
      <c r="C305" s="41"/>
      <c r="D305" s="41"/>
      <c r="E305" s="41"/>
      <c r="F305" s="41"/>
      <c r="G305" s="93" t="str">
        <f t="shared" si="4"/>
        <v>-</v>
      </c>
      <c r="H305" s="10" t="str">
        <f ca="1">IF(OR(A305="",B305=""),"",IF(EOMONTH(DATE(A305,MATCH(B305,{"Januar","Februar","März","April","Mai","Juni","Juli","August","September","Oktober","November","Dezember"},0),1),0)&lt;=TODAY()-Steuerung!$C$27,"Reif","Frisch"))</f>
        <v/>
      </c>
    </row>
    <row r="306" spans="1:8" ht="15" hidden="1" customHeight="1" x14ac:dyDescent="0.25">
      <c r="A306" s="37"/>
      <c r="B306" s="37"/>
      <c r="C306" s="37"/>
      <c r="D306" s="37"/>
      <c r="E306" s="37"/>
      <c r="F306" s="37"/>
      <c r="G306" s="91" t="str">
        <f t="shared" si="4"/>
        <v>-</v>
      </c>
      <c r="H306" s="14" t="str">
        <f ca="1">IF(OR(A306="",B306=""),"",IF(EOMONTH(DATE(A306,MATCH(B306,{"Januar","Februar","März","April","Mai","Juni","Juli","August","September","Oktober","November","Dezember"},0),1),0)&lt;=TODAY()-Steuerung!$C$27,"Reif","Frisch"))</f>
        <v/>
      </c>
    </row>
    <row r="307" spans="1:8" ht="15" hidden="1" customHeight="1" x14ac:dyDescent="0.25">
      <c r="A307" s="41"/>
      <c r="B307" s="41"/>
      <c r="C307" s="41"/>
      <c r="D307" s="41"/>
      <c r="E307" s="41"/>
      <c r="F307" s="41"/>
      <c r="G307" s="93" t="str">
        <f t="shared" si="4"/>
        <v>-</v>
      </c>
      <c r="H307" s="10" t="str">
        <f ca="1">IF(OR(A307="",B307=""),"",IF(EOMONTH(DATE(A307,MATCH(B307,{"Januar","Februar","März","April","Mai","Juni","Juli","August","September","Oktober","November","Dezember"},0),1),0)&lt;=TODAY()-Steuerung!$C$27,"Reif","Frisch"))</f>
        <v/>
      </c>
    </row>
    <row r="308" spans="1:8" ht="15" hidden="1" customHeight="1" x14ac:dyDescent="0.25">
      <c r="A308" s="37"/>
      <c r="B308" s="37"/>
      <c r="C308" s="37"/>
      <c r="D308" s="37"/>
      <c r="E308" s="37"/>
      <c r="F308" s="37"/>
      <c r="G308" s="91" t="str">
        <f t="shared" si="4"/>
        <v>-</v>
      </c>
      <c r="H308" s="14" t="str">
        <f ca="1">IF(OR(A308="",B308=""),"",IF(EOMONTH(DATE(A308,MATCH(B308,{"Januar","Februar","März","April","Mai","Juni","Juli","August","September","Oktober","November","Dezember"},0),1),0)&lt;=TODAY()-Steuerung!$C$27,"Reif","Frisch"))</f>
        <v/>
      </c>
    </row>
    <row r="309" spans="1:8" ht="15" hidden="1" customHeight="1" x14ac:dyDescent="0.25">
      <c r="A309" s="41"/>
      <c r="B309" s="41"/>
      <c r="C309" s="41"/>
      <c r="D309" s="41"/>
      <c r="E309" s="41"/>
      <c r="F309" s="41"/>
      <c r="G309" s="93" t="str">
        <f t="shared" si="4"/>
        <v>-</v>
      </c>
      <c r="H309" s="10" t="str">
        <f ca="1">IF(OR(A309="",B309=""),"",IF(EOMONTH(DATE(A309,MATCH(B309,{"Januar","Februar","März","April","Mai","Juni","Juli","August","September","Oktober","November","Dezember"},0),1),0)&lt;=TODAY()-Steuerung!$C$27,"Reif","Frisch"))</f>
        <v/>
      </c>
    </row>
    <row r="310" spans="1:8" ht="15" hidden="1" customHeight="1" x14ac:dyDescent="0.25">
      <c r="A310" s="37"/>
      <c r="B310" s="37"/>
      <c r="C310" s="37"/>
      <c r="D310" s="37"/>
      <c r="E310" s="37"/>
      <c r="F310" s="37"/>
      <c r="G310" s="91" t="str">
        <f t="shared" si="4"/>
        <v>-</v>
      </c>
      <c r="H310" s="14" t="str">
        <f ca="1">IF(OR(A310="",B310=""),"",IF(EOMONTH(DATE(A310,MATCH(B310,{"Januar","Februar","März","April","Mai","Juni","Juli","August","September","Oktober","November","Dezember"},0),1),0)&lt;=TODAY()-Steuerung!$C$27,"Reif","Frisch"))</f>
        <v/>
      </c>
    </row>
    <row r="311" spans="1:8" ht="15" hidden="1" customHeight="1" x14ac:dyDescent="0.25">
      <c r="A311" s="41"/>
      <c r="B311" s="41"/>
      <c r="C311" s="41"/>
      <c r="D311" s="41"/>
      <c r="E311" s="41"/>
      <c r="F311" s="41"/>
      <c r="G311" s="93" t="str">
        <f t="shared" si="4"/>
        <v>-</v>
      </c>
      <c r="H311" s="10" t="str">
        <f ca="1">IF(OR(A311="",B311=""),"",IF(EOMONTH(DATE(A311,MATCH(B311,{"Januar","Februar","März","April","Mai","Juni","Juli","August","September","Oktober","November","Dezember"},0),1),0)&lt;=TODAY()-Steuerung!$C$27,"Reif","Frisch"))</f>
        <v/>
      </c>
    </row>
    <row r="312" spans="1:8" ht="15" hidden="1" customHeight="1" x14ac:dyDescent="0.25">
      <c r="A312" s="37"/>
      <c r="B312" s="37"/>
      <c r="C312" s="37"/>
      <c r="D312" s="37"/>
      <c r="E312" s="37"/>
      <c r="F312" s="37"/>
      <c r="G312" s="91" t="str">
        <f t="shared" si="4"/>
        <v>-</v>
      </c>
      <c r="H312" s="14" t="str">
        <f ca="1">IF(OR(A312="",B312=""),"",IF(EOMONTH(DATE(A312,MATCH(B312,{"Januar","Februar","März","April","Mai","Juni","Juli","August","September","Oktober","November","Dezember"},0),1),0)&lt;=TODAY()-Steuerung!$C$27,"Reif","Frisch"))</f>
        <v/>
      </c>
    </row>
    <row r="313" spans="1:8" ht="15" hidden="1" customHeight="1" x14ac:dyDescent="0.25">
      <c r="A313" s="41"/>
      <c r="B313" s="41"/>
      <c r="C313" s="41"/>
      <c r="D313" s="41"/>
      <c r="E313" s="41"/>
      <c r="F313" s="41"/>
      <c r="G313" s="93" t="str">
        <f t="shared" si="4"/>
        <v>-</v>
      </c>
      <c r="H313" s="10" t="str">
        <f ca="1">IF(OR(A313="",B313=""),"",IF(EOMONTH(DATE(A313,MATCH(B313,{"Januar","Februar","März","April","Mai","Juni","Juli","August","September","Oktober","November","Dezember"},0),1),0)&lt;=TODAY()-Steuerung!$C$27,"Reif","Frisch"))</f>
        <v/>
      </c>
    </row>
    <row r="314" spans="1:8" ht="15" hidden="1" customHeight="1" x14ac:dyDescent="0.25">
      <c r="A314" s="37"/>
      <c r="B314" s="37"/>
      <c r="C314" s="37"/>
      <c r="D314" s="37"/>
      <c r="E314" s="37"/>
      <c r="F314" s="37"/>
      <c r="G314" s="91" t="str">
        <f t="shared" si="4"/>
        <v>-</v>
      </c>
      <c r="H314" s="14" t="str">
        <f ca="1">IF(OR(A314="",B314=""),"",IF(EOMONTH(DATE(A314,MATCH(B314,{"Januar","Februar","März","April","Mai","Juni","Juli","August","September","Oktober","November","Dezember"},0),1),0)&lt;=TODAY()-Steuerung!$C$27,"Reif","Frisch"))</f>
        <v/>
      </c>
    </row>
    <row r="315" spans="1:8" ht="15" hidden="1" customHeight="1" x14ac:dyDescent="0.25">
      <c r="A315" s="41"/>
      <c r="B315" s="41"/>
      <c r="C315" s="41"/>
      <c r="D315" s="41"/>
      <c r="E315" s="41"/>
      <c r="F315" s="41"/>
      <c r="G315" s="93" t="str">
        <f t="shared" si="4"/>
        <v>-</v>
      </c>
      <c r="H315" s="10" t="str">
        <f ca="1">IF(OR(A315="",B315=""),"",IF(EOMONTH(DATE(A315,MATCH(B315,{"Januar","Februar","März","April","Mai","Juni","Juli","August","September","Oktober","November","Dezember"},0),1),0)&lt;=TODAY()-Steuerung!$C$27,"Reif","Frisch"))</f>
        <v/>
      </c>
    </row>
    <row r="316" spans="1:8" ht="15" hidden="1" customHeight="1" x14ac:dyDescent="0.25">
      <c r="A316" s="37"/>
      <c r="B316" s="37"/>
      <c r="C316" s="37"/>
      <c r="D316" s="37"/>
      <c r="E316" s="37"/>
      <c r="F316" s="37"/>
      <c r="G316" s="91" t="str">
        <f t="shared" si="4"/>
        <v>-</v>
      </c>
      <c r="H316" s="14" t="str">
        <f ca="1">IF(OR(A316="",B316=""),"",IF(EOMONTH(DATE(A316,MATCH(B316,{"Januar","Februar","März","April","Mai","Juni","Juli","August","September","Oktober","November","Dezember"},0),1),0)&lt;=TODAY()-Steuerung!$C$27,"Reif","Frisch"))</f>
        <v/>
      </c>
    </row>
    <row r="317" spans="1:8" ht="15" hidden="1" customHeight="1" x14ac:dyDescent="0.25">
      <c r="A317" s="41"/>
      <c r="B317" s="41"/>
      <c r="C317" s="41"/>
      <c r="D317" s="41"/>
      <c r="E317" s="41"/>
      <c r="F317" s="41"/>
      <c r="G317" s="93" t="str">
        <f t="shared" si="4"/>
        <v>-</v>
      </c>
      <c r="H317" s="10" t="str">
        <f ca="1">IF(OR(A317="",B317=""),"",IF(EOMONTH(DATE(A317,MATCH(B317,{"Januar","Februar","März","April","Mai","Juni","Juli","August","September","Oktober","November","Dezember"},0),1),0)&lt;=TODAY()-Steuerung!$C$27,"Reif","Frisch"))</f>
        <v/>
      </c>
    </row>
    <row r="318" spans="1:8" ht="15" hidden="1" customHeight="1" x14ac:dyDescent="0.25">
      <c r="A318" s="37"/>
      <c r="B318" s="37"/>
      <c r="C318" s="37"/>
      <c r="D318" s="37"/>
      <c r="E318" s="37"/>
      <c r="F318" s="37"/>
      <c r="G318" s="91" t="str">
        <f t="shared" si="4"/>
        <v>-</v>
      </c>
      <c r="H318" s="14" t="str">
        <f ca="1">IF(OR(A318="",B318=""),"",IF(EOMONTH(DATE(A318,MATCH(B318,{"Januar","Februar","März","April","Mai","Juni","Juli","August","September","Oktober","November","Dezember"},0),1),0)&lt;=TODAY()-Steuerung!$C$27,"Reif","Frisch"))</f>
        <v/>
      </c>
    </row>
    <row r="319" spans="1:8" ht="15" hidden="1" customHeight="1" x14ac:dyDescent="0.25">
      <c r="A319" s="41"/>
      <c r="B319" s="41"/>
      <c r="C319" s="41"/>
      <c r="D319" s="41"/>
      <c r="E319" s="41"/>
      <c r="F319" s="41"/>
      <c r="G319" s="93" t="str">
        <f t="shared" si="4"/>
        <v>-</v>
      </c>
      <c r="H319" s="10" t="str">
        <f ca="1">IF(OR(A319="",B319=""),"",IF(EOMONTH(DATE(A319,MATCH(B319,{"Januar","Februar","März","April","Mai","Juni","Juli","August","September","Oktober","November","Dezember"},0),1),0)&lt;=TODAY()-Steuerung!$C$27,"Reif","Frisch"))</f>
        <v/>
      </c>
    </row>
    <row r="320" spans="1:8" ht="15" hidden="1" customHeight="1" x14ac:dyDescent="0.25">
      <c r="A320" s="37"/>
      <c r="B320" s="37"/>
      <c r="C320" s="37"/>
      <c r="D320" s="37"/>
      <c r="E320" s="37"/>
      <c r="F320" s="37"/>
      <c r="G320" s="91" t="str">
        <f t="shared" si="4"/>
        <v>-</v>
      </c>
      <c r="H320" s="14" t="str">
        <f ca="1">IF(OR(A320="",B320=""),"",IF(EOMONTH(DATE(A320,MATCH(B320,{"Januar","Februar","März","April","Mai","Juni","Juli","August","September","Oktober","November","Dezember"},0),1),0)&lt;=TODAY()-Steuerung!$C$27,"Reif","Frisch"))</f>
        <v/>
      </c>
    </row>
    <row r="321" spans="1:8" ht="15" hidden="1" customHeight="1" x14ac:dyDescent="0.25">
      <c r="A321" s="41"/>
      <c r="B321" s="41"/>
      <c r="C321" s="41"/>
      <c r="D321" s="41"/>
      <c r="E321" s="41"/>
      <c r="F321" s="41"/>
      <c r="G321" s="93" t="str">
        <f t="shared" si="4"/>
        <v>-</v>
      </c>
      <c r="H321" s="10" t="str">
        <f ca="1">IF(OR(A321="",B321=""),"",IF(EOMONTH(DATE(A321,MATCH(B321,{"Januar","Februar","März","April","Mai","Juni","Juli","August","September","Oktober","November","Dezember"},0),1),0)&lt;=TODAY()-Steuerung!$C$27,"Reif","Frisch"))</f>
        <v/>
      </c>
    </row>
    <row r="322" spans="1:8" ht="15" hidden="1" customHeight="1" x14ac:dyDescent="0.25">
      <c r="A322" s="37"/>
      <c r="B322" s="37"/>
      <c r="C322" s="37"/>
      <c r="D322" s="37"/>
      <c r="E322" s="37"/>
      <c r="F322" s="37"/>
      <c r="G322" s="91" t="str">
        <f t="shared" si="4"/>
        <v>-</v>
      </c>
      <c r="H322" s="14" t="str">
        <f ca="1">IF(OR(A322="",B322=""),"",IF(EOMONTH(DATE(A322,MATCH(B322,{"Januar","Februar","März","April","Mai","Juni","Juli","August","September","Oktober","November","Dezember"},0),1),0)&lt;=TODAY()-Steuerung!$C$27,"Reif","Frisch"))</f>
        <v/>
      </c>
    </row>
    <row r="323" spans="1:8" ht="15" hidden="1" customHeight="1" x14ac:dyDescent="0.25">
      <c r="A323" s="41"/>
      <c r="B323" s="41"/>
      <c r="C323" s="41"/>
      <c r="D323" s="41"/>
      <c r="E323" s="41"/>
      <c r="F323" s="41"/>
      <c r="G323" s="93" t="str">
        <f t="shared" si="4"/>
        <v>-</v>
      </c>
      <c r="H323" s="10" t="str">
        <f ca="1">IF(OR(A323="",B323=""),"",IF(EOMONTH(DATE(A323,MATCH(B323,{"Januar","Februar","März","April","Mai","Juni","Juli","August","September","Oktober","November","Dezember"},0),1),0)&lt;=TODAY()-Steuerung!$C$27,"Reif","Frisch"))</f>
        <v/>
      </c>
    </row>
    <row r="324" spans="1:8" ht="15" hidden="1" customHeight="1" x14ac:dyDescent="0.25">
      <c r="A324" s="37"/>
      <c r="B324" s="37"/>
      <c r="C324" s="37"/>
      <c r="D324" s="37"/>
      <c r="E324" s="37"/>
      <c r="F324" s="37"/>
      <c r="G324" s="91" t="str">
        <f t="shared" ref="G324:G387" si="5">IF(D324=0,"-",E324/D324)</f>
        <v>-</v>
      </c>
      <c r="H324" s="14" t="str">
        <f ca="1">IF(OR(A324="",B324=""),"",IF(EOMONTH(DATE(A324,MATCH(B324,{"Januar","Februar","März","April","Mai","Juni","Juli","August","September","Oktober","November","Dezember"},0),1),0)&lt;=TODAY()-Steuerung!$C$27,"Reif","Frisch"))</f>
        <v/>
      </c>
    </row>
    <row r="325" spans="1:8" ht="15" hidden="1" customHeight="1" x14ac:dyDescent="0.25">
      <c r="A325" s="41"/>
      <c r="B325" s="41"/>
      <c r="C325" s="41"/>
      <c r="D325" s="41"/>
      <c r="E325" s="41"/>
      <c r="F325" s="41"/>
      <c r="G325" s="93" t="str">
        <f t="shared" si="5"/>
        <v>-</v>
      </c>
      <c r="H325" s="10" t="str">
        <f ca="1">IF(OR(A325="",B325=""),"",IF(EOMONTH(DATE(A325,MATCH(B325,{"Januar","Februar","März","April","Mai","Juni","Juli","August","September","Oktober","November","Dezember"},0),1),0)&lt;=TODAY()-Steuerung!$C$27,"Reif","Frisch"))</f>
        <v/>
      </c>
    </row>
    <row r="326" spans="1:8" ht="15" hidden="1" customHeight="1" x14ac:dyDescent="0.25">
      <c r="A326" s="37"/>
      <c r="B326" s="37"/>
      <c r="C326" s="37"/>
      <c r="D326" s="37"/>
      <c r="E326" s="37"/>
      <c r="F326" s="37"/>
      <c r="G326" s="91" t="str">
        <f t="shared" si="5"/>
        <v>-</v>
      </c>
      <c r="H326" s="14" t="str">
        <f ca="1">IF(OR(A326="",B326=""),"",IF(EOMONTH(DATE(A326,MATCH(B326,{"Januar","Februar","März","April","Mai","Juni","Juli","August","September","Oktober","November","Dezember"},0),1),0)&lt;=TODAY()-Steuerung!$C$27,"Reif","Frisch"))</f>
        <v/>
      </c>
    </row>
    <row r="327" spans="1:8" ht="15" hidden="1" customHeight="1" x14ac:dyDescent="0.25">
      <c r="A327" s="41"/>
      <c r="B327" s="41"/>
      <c r="C327" s="41"/>
      <c r="D327" s="41"/>
      <c r="E327" s="41"/>
      <c r="F327" s="41"/>
      <c r="G327" s="93" t="str">
        <f t="shared" si="5"/>
        <v>-</v>
      </c>
      <c r="H327" s="10" t="str">
        <f ca="1">IF(OR(A327="",B327=""),"",IF(EOMONTH(DATE(A327,MATCH(B327,{"Januar","Februar","März","April","Mai","Juni","Juli","August","September","Oktober","November","Dezember"},0),1),0)&lt;=TODAY()-Steuerung!$C$27,"Reif","Frisch"))</f>
        <v/>
      </c>
    </row>
    <row r="328" spans="1:8" ht="15" hidden="1" customHeight="1" x14ac:dyDescent="0.25">
      <c r="A328" s="37"/>
      <c r="B328" s="37"/>
      <c r="C328" s="37"/>
      <c r="D328" s="37"/>
      <c r="E328" s="37"/>
      <c r="F328" s="37"/>
      <c r="G328" s="91" t="str">
        <f t="shared" si="5"/>
        <v>-</v>
      </c>
      <c r="H328" s="14" t="str">
        <f ca="1">IF(OR(A328="",B328=""),"",IF(EOMONTH(DATE(A328,MATCH(B328,{"Januar","Februar","März","April","Mai","Juni","Juli","August","September","Oktober","November","Dezember"},0),1),0)&lt;=TODAY()-Steuerung!$C$27,"Reif","Frisch"))</f>
        <v/>
      </c>
    </row>
    <row r="329" spans="1:8" ht="15" hidden="1" customHeight="1" x14ac:dyDescent="0.25">
      <c r="A329" s="41"/>
      <c r="B329" s="41"/>
      <c r="C329" s="41"/>
      <c r="D329" s="41"/>
      <c r="E329" s="41"/>
      <c r="F329" s="41"/>
      <c r="G329" s="93" t="str">
        <f t="shared" si="5"/>
        <v>-</v>
      </c>
      <c r="H329" s="10" t="str">
        <f ca="1">IF(OR(A329="",B329=""),"",IF(EOMONTH(DATE(A329,MATCH(B329,{"Januar","Februar","März","April","Mai","Juni","Juli","August","September","Oktober","November","Dezember"},0),1),0)&lt;=TODAY()-Steuerung!$C$27,"Reif","Frisch"))</f>
        <v/>
      </c>
    </row>
    <row r="330" spans="1:8" ht="15" hidden="1" customHeight="1" x14ac:dyDescent="0.25">
      <c r="A330" s="37"/>
      <c r="B330" s="37"/>
      <c r="C330" s="37"/>
      <c r="D330" s="37"/>
      <c r="E330" s="37"/>
      <c r="F330" s="37"/>
      <c r="G330" s="91" t="str">
        <f t="shared" si="5"/>
        <v>-</v>
      </c>
      <c r="H330" s="14" t="str">
        <f ca="1">IF(OR(A330="",B330=""),"",IF(EOMONTH(DATE(A330,MATCH(B330,{"Januar","Februar","März","April","Mai","Juni","Juli","August","September","Oktober","November","Dezember"},0),1),0)&lt;=TODAY()-Steuerung!$C$27,"Reif","Frisch"))</f>
        <v/>
      </c>
    </row>
    <row r="331" spans="1:8" ht="15" hidden="1" customHeight="1" x14ac:dyDescent="0.25">
      <c r="A331" s="41"/>
      <c r="B331" s="41"/>
      <c r="C331" s="41"/>
      <c r="D331" s="41"/>
      <c r="E331" s="41"/>
      <c r="F331" s="41"/>
      <c r="G331" s="93" t="str">
        <f t="shared" si="5"/>
        <v>-</v>
      </c>
      <c r="H331" s="10" t="str">
        <f ca="1">IF(OR(A331="",B331=""),"",IF(EOMONTH(DATE(A331,MATCH(B331,{"Januar","Februar","März","April","Mai","Juni","Juli","August","September","Oktober","November","Dezember"},0),1),0)&lt;=TODAY()-Steuerung!$C$27,"Reif","Frisch"))</f>
        <v/>
      </c>
    </row>
    <row r="332" spans="1:8" ht="15" hidden="1" customHeight="1" x14ac:dyDescent="0.25">
      <c r="A332" s="37"/>
      <c r="B332" s="37"/>
      <c r="C332" s="37"/>
      <c r="D332" s="37"/>
      <c r="E332" s="37"/>
      <c r="F332" s="37"/>
      <c r="G332" s="91" t="str">
        <f t="shared" si="5"/>
        <v>-</v>
      </c>
      <c r="H332" s="14" t="str">
        <f ca="1">IF(OR(A332="",B332=""),"",IF(EOMONTH(DATE(A332,MATCH(B332,{"Januar","Februar","März","April","Mai","Juni","Juli","August","September","Oktober","November","Dezember"},0),1),0)&lt;=TODAY()-Steuerung!$C$27,"Reif","Frisch"))</f>
        <v/>
      </c>
    </row>
    <row r="333" spans="1:8" ht="15" hidden="1" customHeight="1" x14ac:dyDescent="0.25">
      <c r="A333" s="41"/>
      <c r="B333" s="41"/>
      <c r="C333" s="41"/>
      <c r="D333" s="41"/>
      <c r="E333" s="41"/>
      <c r="F333" s="41"/>
      <c r="G333" s="93" t="str">
        <f t="shared" si="5"/>
        <v>-</v>
      </c>
      <c r="H333" s="10" t="str">
        <f ca="1">IF(OR(A333="",B333=""),"",IF(EOMONTH(DATE(A333,MATCH(B333,{"Januar","Februar","März","April","Mai","Juni","Juli","August","September","Oktober","November","Dezember"},0),1),0)&lt;=TODAY()-Steuerung!$C$27,"Reif","Frisch"))</f>
        <v/>
      </c>
    </row>
    <row r="334" spans="1:8" ht="15" hidden="1" customHeight="1" x14ac:dyDescent="0.25">
      <c r="A334" s="37"/>
      <c r="B334" s="37"/>
      <c r="C334" s="37"/>
      <c r="D334" s="37"/>
      <c r="E334" s="37"/>
      <c r="F334" s="37"/>
      <c r="G334" s="91" t="str">
        <f t="shared" si="5"/>
        <v>-</v>
      </c>
      <c r="H334" s="14" t="str">
        <f ca="1">IF(OR(A334="",B334=""),"",IF(EOMONTH(DATE(A334,MATCH(B334,{"Januar","Februar","März","April","Mai","Juni","Juli","August","September","Oktober","November","Dezember"},0),1),0)&lt;=TODAY()-Steuerung!$C$27,"Reif","Frisch"))</f>
        <v/>
      </c>
    </row>
    <row r="335" spans="1:8" ht="15" hidden="1" customHeight="1" x14ac:dyDescent="0.25">
      <c r="A335" s="41"/>
      <c r="B335" s="41"/>
      <c r="C335" s="41"/>
      <c r="D335" s="41"/>
      <c r="E335" s="41"/>
      <c r="F335" s="41"/>
      <c r="G335" s="93" t="str">
        <f t="shared" si="5"/>
        <v>-</v>
      </c>
      <c r="H335" s="10" t="str">
        <f ca="1">IF(OR(A335="",B335=""),"",IF(EOMONTH(DATE(A335,MATCH(B335,{"Januar","Februar","März","April","Mai","Juni","Juli","August","September","Oktober","November","Dezember"},0),1),0)&lt;=TODAY()-Steuerung!$C$27,"Reif","Frisch"))</f>
        <v/>
      </c>
    </row>
    <row r="336" spans="1:8" ht="15" hidden="1" customHeight="1" x14ac:dyDescent="0.25">
      <c r="A336" s="37"/>
      <c r="B336" s="37"/>
      <c r="C336" s="37"/>
      <c r="D336" s="37"/>
      <c r="E336" s="37"/>
      <c r="F336" s="37"/>
      <c r="G336" s="91" t="str">
        <f t="shared" si="5"/>
        <v>-</v>
      </c>
      <c r="H336" s="14" t="str">
        <f ca="1">IF(OR(A336="",B336=""),"",IF(EOMONTH(DATE(A336,MATCH(B336,{"Januar","Februar","März","April","Mai","Juni","Juli","August","September","Oktober","November","Dezember"},0),1),0)&lt;=TODAY()-Steuerung!$C$27,"Reif","Frisch"))</f>
        <v/>
      </c>
    </row>
    <row r="337" spans="1:8" ht="15" hidden="1" customHeight="1" x14ac:dyDescent="0.25">
      <c r="A337" s="41"/>
      <c r="B337" s="41"/>
      <c r="C337" s="41"/>
      <c r="D337" s="41"/>
      <c r="E337" s="41"/>
      <c r="F337" s="41"/>
      <c r="G337" s="93" t="str">
        <f t="shared" si="5"/>
        <v>-</v>
      </c>
      <c r="H337" s="10" t="str">
        <f ca="1">IF(OR(A337="",B337=""),"",IF(EOMONTH(DATE(A337,MATCH(B337,{"Januar","Februar","März","April","Mai","Juni","Juli","August","September","Oktober","November","Dezember"},0),1),0)&lt;=TODAY()-Steuerung!$C$27,"Reif","Frisch"))</f>
        <v/>
      </c>
    </row>
    <row r="338" spans="1:8" ht="15" hidden="1" customHeight="1" x14ac:dyDescent="0.25">
      <c r="A338" s="37"/>
      <c r="B338" s="37"/>
      <c r="C338" s="37"/>
      <c r="D338" s="37"/>
      <c r="E338" s="37"/>
      <c r="F338" s="37"/>
      <c r="G338" s="91" t="str">
        <f t="shared" si="5"/>
        <v>-</v>
      </c>
      <c r="H338" s="14" t="str">
        <f ca="1">IF(OR(A338="",B338=""),"",IF(EOMONTH(DATE(A338,MATCH(B338,{"Januar","Februar","März","April","Mai","Juni","Juli","August","September","Oktober","November","Dezember"},0),1),0)&lt;=TODAY()-Steuerung!$C$27,"Reif","Frisch"))</f>
        <v/>
      </c>
    </row>
    <row r="339" spans="1:8" ht="15" hidden="1" customHeight="1" x14ac:dyDescent="0.25">
      <c r="A339" s="41"/>
      <c r="B339" s="41"/>
      <c r="C339" s="41"/>
      <c r="D339" s="41"/>
      <c r="E339" s="41"/>
      <c r="F339" s="41"/>
      <c r="G339" s="93" t="str">
        <f t="shared" si="5"/>
        <v>-</v>
      </c>
      <c r="H339" s="10" t="str">
        <f ca="1">IF(OR(A339="",B339=""),"",IF(EOMONTH(DATE(A339,MATCH(B339,{"Januar","Februar","März","April","Mai","Juni","Juli","August","September","Oktober","November","Dezember"},0),1),0)&lt;=TODAY()-Steuerung!$C$27,"Reif","Frisch"))</f>
        <v/>
      </c>
    </row>
    <row r="340" spans="1:8" ht="15" hidden="1" customHeight="1" x14ac:dyDescent="0.25">
      <c r="A340" s="37"/>
      <c r="B340" s="37"/>
      <c r="C340" s="37"/>
      <c r="D340" s="37"/>
      <c r="E340" s="37"/>
      <c r="F340" s="37"/>
      <c r="G340" s="91" t="str">
        <f t="shared" si="5"/>
        <v>-</v>
      </c>
      <c r="H340" s="14" t="str">
        <f ca="1">IF(OR(A340="",B340=""),"",IF(EOMONTH(DATE(A340,MATCH(B340,{"Januar","Februar","März","April","Mai","Juni","Juli","August","September","Oktober","November","Dezember"},0),1),0)&lt;=TODAY()-Steuerung!$C$27,"Reif","Frisch"))</f>
        <v/>
      </c>
    </row>
    <row r="341" spans="1:8" ht="15" hidden="1" customHeight="1" x14ac:dyDescent="0.25">
      <c r="A341" s="41"/>
      <c r="B341" s="41"/>
      <c r="C341" s="41"/>
      <c r="D341" s="41"/>
      <c r="E341" s="41"/>
      <c r="F341" s="41"/>
      <c r="G341" s="93" t="str">
        <f t="shared" si="5"/>
        <v>-</v>
      </c>
      <c r="H341" s="10" t="str">
        <f ca="1">IF(OR(A341="",B341=""),"",IF(EOMONTH(DATE(A341,MATCH(B341,{"Januar","Februar","März","April","Mai","Juni","Juli","August","September","Oktober","November","Dezember"},0),1),0)&lt;=TODAY()-Steuerung!$C$27,"Reif","Frisch"))</f>
        <v/>
      </c>
    </row>
    <row r="342" spans="1:8" ht="15" hidden="1" customHeight="1" x14ac:dyDescent="0.25">
      <c r="A342" s="37"/>
      <c r="B342" s="37"/>
      <c r="C342" s="37"/>
      <c r="D342" s="37"/>
      <c r="E342" s="37"/>
      <c r="F342" s="37"/>
      <c r="G342" s="91" t="str">
        <f t="shared" si="5"/>
        <v>-</v>
      </c>
      <c r="H342" s="14" t="str">
        <f ca="1">IF(OR(A342="",B342=""),"",IF(EOMONTH(DATE(A342,MATCH(B342,{"Januar","Februar","März","April","Mai","Juni","Juli","August","September","Oktober","November","Dezember"},0),1),0)&lt;=TODAY()-Steuerung!$C$27,"Reif","Frisch"))</f>
        <v/>
      </c>
    </row>
    <row r="343" spans="1:8" ht="15" hidden="1" customHeight="1" x14ac:dyDescent="0.25">
      <c r="A343" s="41"/>
      <c r="B343" s="41"/>
      <c r="C343" s="41"/>
      <c r="D343" s="41"/>
      <c r="E343" s="41"/>
      <c r="F343" s="41"/>
      <c r="G343" s="93" t="str">
        <f t="shared" si="5"/>
        <v>-</v>
      </c>
      <c r="H343" s="10" t="str">
        <f ca="1">IF(OR(A343="",B343=""),"",IF(EOMONTH(DATE(A343,MATCH(B343,{"Januar","Februar","März","April","Mai","Juni","Juli","August","September","Oktober","November","Dezember"},0),1),0)&lt;=TODAY()-Steuerung!$C$27,"Reif","Frisch"))</f>
        <v/>
      </c>
    </row>
    <row r="344" spans="1:8" ht="15" hidden="1" customHeight="1" x14ac:dyDescent="0.25">
      <c r="A344" s="37"/>
      <c r="B344" s="37"/>
      <c r="C344" s="37"/>
      <c r="D344" s="37"/>
      <c r="E344" s="37"/>
      <c r="F344" s="37"/>
      <c r="G344" s="91" t="str">
        <f t="shared" si="5"/>
        <v>-</v>
      </c>
      <c r="H344" s="14" t="str">
        <f ca="1">IF(OR(A344="",B344=""),"",IF(EOMONTH(DATE(A344,MATCH(B344,{"Januar","Februar","März","April","Mai","Juni","Juli","August","September","Oktober","November","Dezember"},0),1),0)&lt;=TODAY()-Steuerung!$C$27,"Reif","Frisch"))</f>
        <v/>
      </c>
    </row>
    <row r="345" spans="1:8" ht="15" hidden="1" customHeight="1" x14ac:dyDescent="0.25">
      <c r="A345" s="41"/>
      <c r="B345" s="41"/>
      <c r="C345" s="41"/>
      <c r="D345" s="41"/>
      <c r="E345" s="41"/>
      <c r="F345" s="41"/>
      <c r="G345" s="93" t="str">
        <f t="shared" si="5"/>
        <v>-</v>
      </c>
      <c r="H345" s="10" t="str">
        <f ca="1">IF(OR(A345="",B345=""),"",IF(EOMONTH(DATE(A345,MATCH(B345,{"Januar","Februar","März","April","Mai","Juni","Juli","August","September","Oktober","November","Dezember"},0),1),0)&lt;=TODAY()-Steuerung!$C$27,"Reif","Frisch"))</f>
        <v/>
      </c>
    </row>
    <row r="346" spans="1:8" ht="15" hidden="1" customHeight="1" x14ac:dyDescent="0.25">
      <c r="A346" s="37"/>
      <c r="B346" s="37"/>
      <c r="C346" s="37"/>
      <c r="D346" s="37"/>
      <c r="E346" s="37"/>
      <c r="F346" s="37"/>
      <c r="G346" s="91" t="str">
        <f t="shared" si="5"/>
        <v>-</v>
      </c>
      <c r="H346" s="14" t="str">
        <f ca="1">IF(OR(A346="",B346=""),"",IF(EOMONTH(DATE(A346,MATCH(B346,{"Januar","Februar","März","April","Mai","Juni","Juli","August","September","Oktober","November","Dezember"},0),1),0)&lt;=TODAY()-Steuerung!$C$27,"Reif","Frisch"))</f>
        <v/>
      </c>
    </row>
    <row r="347" spans="1:8" ht="15" hidden="1" customHeight="1" x14ac:dyDescent="0.25">
      <c r="A347" s="41"/>
      <c r="B347" s="41"/>
      <c r="C347" s="41"/>
      <c r="D347" s="41"/>
      <c r="E347" s="41"/>
      <c r="F347" s="41"/>
      <c r="G347" s="93" t="str">
        <f t="shared" si="5"/>
        <v>-</v>
      </c>
      <c r="H347" s="10" t="str">
        <f ca="1">IF(OR(A347="",B347=""),"",IF(EOMONTH(DATE(A347,MATCH(B347,{"Januar","Februar","März","April","Mai","Juni","Juli","August","September","Oktober","November","Dezember"},0),1),0)&lt;=TODAY()-Steuerung!$C$27,"Reif","Frisch"))</f>
        <v/>
      </c>
    </row>
    <row r="348" spans="1:8" ht="15" hidden="1" customHeight="1" x14ac:dyDescent="0.25">
      <c r="A348" s="37"/>
      <c r="B348" s="37"/>
      <c r="C348" s="37"/>
      <c r="D348" s="37"/>
      <c r="E348" s="37"/>
      <c r="F348" s="37"/>
      <c r="G348" s="91" t="str">
        <f t="shared" si="5"/>
        <v>-</v>
      </c>
      <c r="H348" s="14" t="str">
        <f ca="1">IF(OR(A348="",B348=""),"",IF(EOMONTH(DATE(A348,MATCH(B348,{"Januar","Februar","März","April","Mai","Juni","Juli","August","September","Oktober","November","Dezember"},0),1),0)&lt;=TODAY()-Steuerung!$C$27,"Reif","Frisch"))</f>
        <v/>
      </c>
    </row>
    <row r="349" spans="1:8" ht="15" hidden="1" customHeight="1" x14ac:dyDescent="0.25">
      <c r="A349" s="41"/>
      <c r="B349" s="41"/>
      <c r="C349" s="41"/>
      <c r="D349" s="41"/>
      <c r="E349" s="41"/>
      <c r="F349" s="41"/>
      <c r="G349" s="93" t="str">
        <f t="shared" si="5"/>
        <v>-</v>
      </c>
      <c r="H349" s="10" t="str">
        <f ca="1">IF(OR(A349="",B349=""),"",IF(EOMONTH(DATE(A349,MATCH(B349,{"Januar","Februar","März","April","Mai","Juni","Juli","August","September","Oktober","November","Dezember"},0),1),0)&lt;=TODAY()-Steuerung!$C$27,"Reif","Frisch"))</f>
        <v/>
      </c>
    </row>
    <row r="350" spans="1:8" ht="15" hidden="1" customHeight="1" x14ac:dyDescent="0.25">
      <c r="A350" s="37"/>
      <c r="B350" s="37"/>
      <c r="C350" s="37"/>
      <c r="D350" s="37"/>
      <c r="E350" s="37"/>
      <c r="F350" s="37"/>
      <c r="G350" s="91" t="str">
        <f t="shared" si="5"/>
        <v>-</v>
      </c>
      <c r="H350" s="14" t="str">
        <f ca="1">IF(OR(A350="",B350=""),"",IF(EOMONTH(DATE(A350,MATCH(B350,{"Januar","Februar","März","April","Mai","Juni","Juli","August","September","Oktober","November","Dezember"},0),1),0)&lt;=TODAY()-Steuerung!$C$27,"Reif","Frisch"))</f>
        <v/>
      </c>
    </row>
    <row r="351" spans="1:8" ht="15" hidden="1" customHeight="1" x14ac:dyDescent="0.25">
      <c r="A351" s="41"/>
      <c r="B351" s="41"/>
      <c r="C351" s="41"/>
      <c r="D351" s="41"/>
      <c r="E351" s="41"/>
      <c r="F351" s="41"/>
      <c r="G351" s="93" t="str">
        <f t="shared" si="5"/>
        <v>-</v>
      </c>
      <c r="H351" s="10" t="str">
        <f ca="1">IF(OR(A351="",B351=""),"",IF(EOMONTH(DATE(A351,MATCH(B351,{"Januar","Februar","März","April","Mai","Juni","Juli","August","September","Oktober","November","Dezember"},0),1),0)&lt;=TODAY()-Steuerung!$C$27,"Reif","Frisch"))</f>
        <v/>
      </c>
    </row>
    <row r="352" spans="1:8" ht="15" hidden="1" customHeight="1" x14ac:dyDescent="0.25">
      <c r="A352" s="37"/>
      <c r="B352" s="37"/>
      <c r="C352" s="37"/>
      <c r="D352" s="37"/>
      <c r="E352" s="37"/>
      <c r="F352" s="37"/>
      <c r="G352" s="91" t="str">
        <f t="shared" si="5"/>
        <v>-</v>
      </c>
      <c r="H352" s="14" t="str">
        <f ca="1">IF(OR(A352="",B352=""),"",IF(EOMONTH(DATE(A352,MATCH(B352,{"Januar","Februar","März","April","Mai","Juni","Juli","August","September","Oktober","November","Dezember"},0),1),0)&lt;=TODAY()-Steuerung!$C$27,"Reif","Frisch"))</f>
        <v/>
      </c>
    </row>
    <row r="353" spans="1:8" ht="15" hidden="1" customHeight="1" x14ac:dyDescent="0.25">
      <c r="A353" s="41"/>
      <c r="B353" s="41"/>
      <c r="C353" s="41"/>
      <c r="D353" s="41"/>
      <c r="E353" s="41"/>
      <c r="F353" s="41"/>
      <c r="G353" s="93" t="str">
        <f t="shared" si="5"/>
        <v>-</v>
      </c>
      <c r="H353" s="10" t="str">
        <f ca="1">IF(OR(A353="",B353=""),"",IF(EOMONTH(DATE(A353,MATCH(B353,{"Januar","Februar","März","April","Mai","Juni","Juli","August","September","Oktober","November","Dezember"},0),1),0)&lt;=TODAY()-Steuerung!$C$27,"Reif","Frisch"))</f>
        <v/>
      </c>
    </row>
    <row r="354" spans="1:8" ht="15" hidden="1" customHeight="1" x14ac:dyDescent="0.25">
      <c r="A354" s="37"/>
      <c r="B354" s="37"/>
      <c r="C354" s="37"/>
      <c r="D354" s="37"/>
      <c r="E354" s="37"/>
      <c r="F354" s="37"/>
      <c r="G354" s="91" t="str">
        <f t="shared" si="5"/>
        <v>-</v>
      </c>
      <c r="H354" s="14" t="str">
        <f ca="1">IF(OR(A354="",B354=""),"",IF(EOMONTH(DATE(A354,MATCH(B354,{"Januar","Februar","März","April","Mai","Juni","Juli","August","September","Oktober","November","Dezember"},0),1),0)&lt;=TODAY()-Steuerung!$C$27,"Reif","Frisch"))</f>
        <v/>
      </c>
    </row>
    <row r="355" spans="1:8" ht="15" hidden="1" customHeight="1" x14ac:dyDescent="0.25">
      <c r="A355" s="41"/>
      <c r="B355" s="41"/>
      <c r="C355" s="41"/>
      <c r="D355" s="41"/>
      <c r="E355" s="41"/>
      <c r="F355" s="41"/>
      <c r="G355" s="93" t="str">
        <f t="shared" si="5"/>
        <v>-</v>
      </c>
      <c r="H355" s="10" t="str">
        <f ca="1">IF(OR(A355="",B355=""),"",IF(EOMONTH(DATE(A355,MATCH(B355,{"Januar","Februar","März","April","Mai","Juni","Juli","August","September","Oktober","November","Dezember"},0),1),0)&lt;=TODAY()-Steuerung!$C$27,"Reif","Frisch"))</f>
        <v/>
      </c>
    </row>
    <row r="356" spans="1:8" ht="15" hidden="1" customHeight="1" x14ac:dyDescent="0.25">
      <c r="A356" s="37"/>
      <c r="B356" s="37"/>
      <c r="C356" s="37"/>
      <c r="D356" s="37"/>
      <c r="E356" s="37"/>
      <c r="F356" s="37"/>
      <c r="G356" s="91" t="str">
        <f t="shared" si="5"/>
        <v>-</v>
      </c>
      <c r="H356" s="14" t="str">
        <f ca="1">IF(OR(A356="",B356=""),"",IF(EOMONTH(DATE(A356,MATCH(B356,{"Januar","Februar","März","April","Mai","Juni","Juli","August","September","Oktober","November","Dezember"},0),1),0)&lt;=TODAY()-Steuerung!$C$27,"Reif","Frisch"))</f>
        <v/>
      </c>
    </row>
    <row r="357" spans="1:8" ht="15" hidden="1" customHeight="1" x14ac:dyDescent="0.25">
      <c r="A357" s="41"/>
      <c r="B357" s="41"/>
      <c r="C357" s="41"/>
      <c r="D357" s="41"/>
      <c r="E357" s="41"/>
      <c r="F357" s="41"/>
      <c r="G357" s="93" t="str">
        <f t="shared" si="5"/>
        <v>-</v>
      </c>
      <c r="H357" s="10" t="str">
        <f ca="1">IF(OR(A357="",B357=""),"",IF(EOMONTH(DATE(A357,MATCH(B357,{"Januar","Februar","März","April","Mai","Juni","Juli","August","September","Oktober","November","Dezember"},0),1),0)&lt;=TODAY()-Steuerung!$C$27,"Reif","Frisch"))</f>
        <v/>
      </c>
    </row>
    <row r="358" spans="1:8" ht="15" hidden="1" customHeight="1" x14ac:dyDescent="0.25">
      <c r="A358" s="37"/>
      <c r="B358" s="37"/>
      <c r="C358" s="37"/>
      <c r="D358" s="37"/>
      <c r="E358" s="37"/>
      <c r="F358" s="37"/>
      <c r="G358" s="91" t="str">
        <f t="shared" si="5"/>
        <v>-</v>
      </c>
      <c r="H358" s="14" t="str">
        <f ca="1">IF(OR(A358="",B358=""),"",IF(EOMONTH(DATE(A358,MATCH(B358,{"Januar","Februar","März","April","Mai","Juni","Juli","August","September","Oktober","November","Dezember"},0),1),0)&lt;=TODAY()-Steuerung!$C$27,"Reif","Frisch"))</f>
        <v/>
      </c>
    </row>
    <row r="359" spans="1:8" ht="15" hidden="1" customHeight="1" x14ac:dyDescent="0.25">
      <c r="A359" s="41"/>
      <c r="B359" s="41"/>
      <c r="C359" s="41"/>
      <c r="D359" s="41"/>
      <c r="E359" s="41"/>
      <c r="F359" s="41"/>
      <c r="G359" s="93" t="str">
        <f t="shared" si="5"/>
        <v>-</v>
      </c>
      <c r="H359" s="10" t="str">
        <f ca="1">IF(OR(A359="",B359=""),"",IF(EOMONTH(DATE(A359,MATCH(B359,{"Januar","Februar","März","April","Mai","Juni","Juli","August","September","Oktober","November","Dezember"},0),1),0)&lt;=TODAY()-Steuerung!$C$27,"Reif","Frisch"))</f>
        <v/>
      </c>
    </row>
    <row r="360" spans="1:8" ht="15" hidden="1" customHeight="1" x14ac:dyDescent="0.25">
      <c r="A360" s="37"/>
      <c r="B360" s="37"/>
      <c r="C360" s="37"/>
      <c r="D360" s="37"/>
      <c r="E360" s="37"/>
      <c r="F360" s="37"/>
      <c r="G360" s="91" t="str">
        <f t="shared" si="5"/>
        <v>-</v>
      </c>
      <c r="H360" s="14" t="str">
        <f ca="1">IF(OR(A360="",B360=""),"",IF(EOMONTH(DATE(A360,MATCH(B360,{"Januar","Februar","März","April","Mai","Juni","Juli","August","September","Oktober","November","Dezember"},0),1),0)&lt;=TODAY()-Steuerung!$C$27,"Reif","Frisch"))</f>
        <v/>
      </c>
    </row>
    <row r="361" spans="1:8" ht="15" hidden="1" customHeight="1" x14ac:dyDescent="0.25">
      <c r="A361" s="41"/>
      <c r="B361" s="41"/>
      <c r="C361" s="41"/>
      <c r="D361" s="41"/>
      <c r="E361" s="41"/>
      <c r="F361" s="41"/>
      <c r="G361" s="93" t="str">
        <f t="shared" si="5"/>
        <v>-</v>
      </c>
      <c r="H361" s="10" t="str">
        <f ca="1">IF(OR(A361="",B361=""),"",IF(EOMONTH(DATE(A361,MATCH(B361,{"Januar","Februar","März","April","Mai","Juni","Juli","August","September","Oktober","November","Dezember"},0),1),0)&lt;=TODAY()-Steuerung!$C$27,"Reif","Frisch"))</f>
        <v/>
      </c>
    </row>
    <row r="362" spans="1:8" ht="15" hidden="1" customHeight="1" x14ac:dyDescent="0.25">
      <c r="A362" s="37"/>
      <c r="B362" s="37"/>
      <c r="C362" s="37"/>
      <c r="D362" s="37"/>
      <c r="E362" s="37"/>
      <c r="F362" s="37"/>
      <c r="G362" s="91" t="str">
        <f t="shared" si="5"/>
        <v>-</v>
      </c>
      <c r="H362" s="14" t="str">
        <f ca="1">IF(OR(A362="",B362=""),"",IF(EOMONTH(DATE(A362,MATCH(B362,{"Januar","Februar","März","April","Mai","Juni","Juli","August","September","Oktober","November","Dezember"},0),1),0)&lt;=TODAY()-Steuerung!$C$27,"Reif","Frisch"))</f>
        <v/>
      </c>
    </row>
    <row r="363" spans="1:8" ht="15" hidden="1" customHeight="1" x14ac:dyDescent="0.25">
      <c r="A363" s="41"/>
      <c r="B363" s="41"/>
      <c r="C363" s="41"/>
      <c r="D363" s="41"/>
      <c r="E363" s="41"/>
      <c r="F363" s="41"/>
      <c r="G363" s="93" t="str">
        <f t="shared" si="5"/>
        <v>-</v>
      </c>
      <c r="H363" s="10" t="str">
        <f ca="1">IF(OR(A363="",B363=""),"",IF(EOMONTH(DATE(A363,MATCH(B363,{"Januar","Februar","März","April","Mai","Juni","Juli","August","September","Oktober","November","Dezember"},0),1),0)&lt;=TODAY()-Steuerung!$C$27,"Reif","Frisch"))</f>
        <v/>
      </c>
    </row>
    <row r="364" spans="1:8" ht="15" hidden="1" customHeight="1" x14ac:dyDescent="0.25">
      <c r="A364" s="37"/>
      <c r="B364" s="37"/>
      <c r="C364" s="37"/>
      <c r="D364" s="37"/>
      <c r="E364" s="37"/>
      <c r="F364" s="37"/>
      <c r="G364" s="91" t="str">
        <f t="shared" si="5"/>
        <v>-</v>
      </c>
      <c r="H364" s="14" t="str">
        <f ca="1">IF(OR(A364="",B364=""),"",IF(EOMONTH(DATE(A364,MATCH(B364,{"Januar","Februar","März","April","Mai","Juni","Juli","August","September","Oktober","November","Dezember"},0),1),0)&lt;=TODAY()-Steuerung!$C$27,"Reif","Frisch"))</f>
        <v/>
      </c>
    </row>
    <row r="365" spans="1:8" ht="15" hidden="1" customHeight="1" x14ac:dyDescent="0.25">
      <c r="A365" s="41"/>
      <c r="B365" s="41"/>
      <c r="C365" s="41"/>
      <c r="D365" s="41"/>
      <c r="E365" s="41"/>
      <c r="F365" s="41"/>
      <c r="G365" s="93" t="str">
        <f t="shared" si="5"/>
        <v>-</v>
      </c>
      <c r="H365" s="10" t="str">
        <f ca="1">IF(OR(A365="",B365=""),"",IF(EOMONTH(DATE(A365,MATCH(B365,{"Januar","Februar","März","April","Mai","Juni","Juli","August","September","Oktober","November","Dezember"},0),1),0)&lt;=TODAY()-Steuerung!$C$27,"Reif","Frisch"))</f>
        <v/>
      </c>
    </row>
    <row r="366" spans="1:8" ht="15" hidden="1" customHeight="1" x14ac:dyDescent="0.25">
      <c r="A366" s="37"/>
      <c r="B366" s="37"/>
      <c r="C366" s="37"/>
      <c r="D366" s="37"/>
      <c r="E366" s="37"/>
      <c r="F366" s="37"/>
      <c r="G366" s="91" t="str">
        <f t="shared" si="5"/>
        <v>-</v>
      </c>
      <c r="H366" s="14" t="str">
        <f ca="1">IF(OR(A366="",B366=""),"",IF(EOMONTH(DATE(A366,MATCH(B366,{"Januar","Februar","März","April","Mai","Juni","Juli","August","September","Oktober","November","Dezember"},0),1),0)&lt;=TODAY()-Steuerung!$C$27,"Reif","Frisch"))</f>
        <v/>
      </c>
    </row>
    <row r="367" spans="1:8" ht="15" hidden="1" customHeight="1" x14ac:dyDescent="0.25">
      <c r="A367" s="41"/>
      <c r="B367" s="41"/>
      <c r="C367" s="41"/>
      <c r="D367" s="41"/>
      <c r="E367" s="41"/>
      <c r="F367" s="41"/>
      <c r="G367" s="93" t="str">
        <f t="shared" si="5"/>
        <v>-</v>
      </c>
      <c r="H367" s="10" t="str">
        <f ca="1">IF(OR(A367="",B367=""),"",IF(EOMONTH(DATE(A367,MATCH(B367,{"Januar","Februar","März","April","Mai","Juni","Juli","August","September","Oktober","November","Dezember"},0),1),0)&lt;=TODAY()-Steuerung!$C$27,"Reif","Frisch"))</f>
        <v/>
      </c>
    </row>
    <row r="368" spans="1:8" ht="15" hidden="1" customHeight="1" x14ac:dyDescent="0.25">
      <c r="A368" s="37"/>
      <c r="B368" s="37"/>
      <c r="C368" s="37"/>
      <c r="D368" s="37"/>
      <c r="E368" s="37"/>
      <c r="F368" s="37"/>
      <c r="G368" s="91" t="str">
        <f t="shared" si="5"/>
        <v>-</v>
      </c>
      <c r="H368" s="14" t="str">
        <f ca="1">IF(OR(A368="",B368=""),"",IF(EOMONTH(DATE(A368,MATCH(B368,{"Januar","Februar","März","April","Mai","Juni","Juli","August","September","Oktober","November","Dezember"},0),1),0)&lt;=TODAY()-Steuerung!$C$27,"Reif","Frisch"))</f>
        <v/>
      </c>
    </row>
    <row r="369" spans="1:8" ht="15" hidden="1" customHeight="1" x14ac:dyDescent="0.25">
      <c r="A369" s="41"/>
      <c r="B369" s="41"/>
      <c r="C369" s="41"/>
      <c r="D369" s="41"/>
      <c r="E369" s="41"/>
      <c r="F369" s="41"/>
      <c r="G369" s="93" t="str">
        <f t="shared" si="5"/>
        <v>-</v>
      </c>
      <c r="H369" s="10" t="str">
        <f ca="1">IF(OR(A369="",B369=""),"",IF(EOMONTH(DATE(A369,MATCH(B369,{"Januar","Februar","März","April","Mai","Juni","Juli","August","September","Oktober","November","Dezember"},0),1),0)&lt;=TODAY()-Steuerung!$C$27,"Reif","Frisch"))</f>
        <v/>
      </c>
    </row>
    <row r="370" spans="1:8" ht="15" hidden="1" customHeight="1" x14ac:dyDescent="0.25">
      <c r="A370" s="37"/>
      <c r="B370" s="37"/>
      <c r="C370" s="37"/>
      <c r="D370" s="37"/>
      <c r="E370" s="37"/>
      <c r="F370" s="37"/>
      <c r="G370" s="91" t="str">
        <f t="shared" si="5"/>
        <v>-</v>
      </c>
      <c r="H370" s="14" t="str">
        <f ca="1">IF(OR(A370="",B370=""),"",IF(EOMONTH(DATE(A370,MATCH(B370,{"Januar","Februar","März","April","Mai","Juni","Juli","August","September","Oktober","November","Dezember"},0),1),0)&lt;=TODAY()-Steuerung!$C$27,"Reif","Frisch"))</f>
        <v/>
      </c>
    </row>
    <row r="371" spans="1:8" ht="15" hidden="1" customHeight="1" x14ac:dyDescent="0.25">
      <c r="A371" s="41"/>
      <c r="B371" s="41"/>
      <c r="C371" s="41"/>
      <c r="D371" s="41"/>
      <c r="E371" s="41"/>
      <c r="F371" s="41"/>
      <c r="G371" s="93" t="str">
        <f t="shared" si="5"/>
        <v>-</v>
      </c>
      <c r="H371" s="10" t="str">
        <f ca="1">IF(OR(A371="",B371=""),"",IF(EOMONTH(DATE(A371,MATCH(B371,{"Januar","Februar","März","April","Mai","Juni","Juli","August","September","Oktober","November","Dezember"},0),1),0)&lt;=TODAY()-Steuerung!$C$27,"Reif","Frisch"))</f>
        <v/>
      </c>
    </row>
    <row r="372" spans="1:8" ht="15" hidden="1" customHeight="1" x14ac:dyDescent="0.25">
      <c r="A372" s="37"/>
      <c r="B372" s="37"/>
      <c r="C372" s="37"/>
      <c r="D372" s="37"/>
      <c r="E372" s="37"/>
      <c r="F372" s="37"/>
      <c r="G372" s="91" t="str">
        <f t="shared" si="5"/>
        <v>-</v>
      </c>
      <c r="H372" s="14" t="str">
        <f ca="1">IF(OR(A372="",B372=""),"",IF(EOMONTH(DATE(A372,MATCH(B372,{"Januar","Februar","März","April","Mai","Juni","Juli","August","September","Oktober","November","Dezember"},0),1),0)&lt;=TODAY()-Steuerung!$C$27,"Reif","Frisch"))</f>
        <v/>
      </c>
    </row>
    <row r="373" spans="1:8" ht="15" hidden="1" customHeight="1" x14ac:dyDescent="0.25">
      <c r="A373" s="41"/>
      <c r="B373" s="41"/>
      <c r="C373" s="41"/>
      <c r="D373" s="41"/>
      <c r="E373" s="41"/>
      <c r="F373" s="41"/>
      <c r="G373" s="93" t="str">
        <f t="shared" si="5"/>
        <v>-</v>
      </c>
      <c r="H373" s="10" t="str">
        <f ca="1">IF(OR(A373="",B373=""),"",IF(EOMONTH(DATE(A373,MATCH(B373,{"Januar","Februar","März","April","Mai","Juni","Juli","August","September","Oktober","November","Dezember"},0),1),0)&lt;=TODAY()-Steuerung!$C$27,"Reif","Frisch"))</f>
        <v/>
      </c>
    </row>
    <row r="374" spans="1:8" ht="15" hidden="1" customHeight="1" x14ac:dyDescent="0.25">
      <c r="A374" s="37"/>
      <c r="B374" s="37"/>
      <c r="C374" s="37"/>
      <c r="D374" s="37"/>
      <c r="E374" s="37"/>
      <c r="F374" s="37"/>
      <c r="G374" s="91" t="str">
        <f t="shared" si="5"/>
        <v>-</v>
      </c>
      <c r="H374" s="14" t="str">
        <f ca="1">IF(OR(A374="",B374=""),"",IF(EOMONTH(DATE(A374,MATCH(B374,{"Januar","Februar","März","April","Mai","Juni","Juli","August","September","Oktober","November","Dezember"},0),1),0)&lt;=TODAY()-Steuerung!$C$27,"Reif","Frisch"))</f>
        <v/>
      </c>
    </row>
    <row r="375" spans="1:8" ht="15" hidden="1" customHeight="1" x14ac:dyDescent="0.25">
      <c r="A375" s="41"/>
      <c r="B375" s="41"/>
      <c r="C375" s="41"/>
      <c r="D375" s="41"/>
      <c r="E375" s="41"/>
      <c r="F375" s="41"/>
      <c r="G375" s="93" t="str">
        <f t="shared" si="5"/>
        <v>-</v>
      </c>
      <c r="H375" s="10" t="str">
        <f ca="1">IF(OR(A375="",B375=""),"",IF(EOMONTH(DATE(A375,MATCH(B375,{"Januar","Februar","März","April","Mai","Juni","Juli","August","September","Oktober","November","Dezember"},0),1),0)&lt;=TODAY()-Steuerung!$C$27,"Reif","Frisch"))</f>
        <v/>
      </c>
    </row>
    <row r="376" spans="1:8" ht="15" hidden="1" customHeight="1" x14ac:dyDescent="0.25">
      <c r="A376" s="37"/>
      <c r="B376" s="37"/>
      <c r="C376" s="37"/>
      <c r="D376" s="37"/>
      <c r="E376" s="37"/>
      <c r="F376" s="37"/>
      <c r="G376" s="91" t="str">
        <f t="shared" si="5"/>
        <v>-</v>
      </c>
      <c r="H376" s="14" t="str">
        <f ca="1">IF(OR(A376="",B376=""),"",IF(EOMONTH(DATE(A376,MATCH(B376,{"Januar","Februar","März","April","Mai","Juni","Juli","August","September","Oktober","November","Dezember"},0),1),0)&lt;=TODAY()-Steuerung!$C$27,"Reif","Frisch"))</f>
        <v/>
      </c>
    </row>
    <row r="377" spans="1:8" ht="15" hidden="1" customHeight="1" x14ac:dyDescent="0.25">
      <c r="A377" s="41"/>
      <c r="B377" s="41"/>
      <c r="C377" s="41"/>
      <c r="D377" s="41"/>
      <c r="E377" s="41"/>
      <c r="F377" s="41"/>
      <c r="G377" s="93" t="str">
        <f t="shared" si="5"/>
        <v>-</v>
      </c>
      <c r="H377" s="10" t="str">
        <f ca="1">IF(OR(A377="",B377=""),"",IF(EOMONTH(DATE(A377,MATCH(B377,{"Januar","Februar","März","April","Mai","Juni","Juli","August","September","Oktober","November","Dezember"},0),1),0)&lt;=TODAY()-Steuerung!$C$27,"Reif","Frisch"))</f>
        <v/>
      </c>
    </row>
    <row r="378" spans="1:8" ht="15" hidden="1" customHeight="1" x14ac:dyDescent="0.25">
      <c r="A378" s="37"/>
      <c r="B378" s="37"/>
      <c r="C378" s="37"/>
      <c r="D378" s="37"/>
      <c r="E378" s="37"/>
      <c r="F378" s="37"/>
      <c r="G378" s="91" t="str">
        <f t="shared" si="5"/>
        <v>-</v>
      </c>
      <c r="H378" s="14" t="str">
        <f ca="1">IF(OR(A378="",B378=""),"",IF(EOMONTH(DATE(A378,MATCH(B378,{"Januar","Februar","März","April","Mai","Juni","Juli","August","September","Oktober","November","Dezember"},0),1),0)&lt;=TODAY()-Steuerung!$C$27,"Reif","Frisch"))</f>
        <v/>
      </c>
    </row>
    <row r="379" spans="1:8" ht="15" hidden="1" customHeight="1" x14ac:dyDescent="0.25">
      <c r="A379" s="41"/>
      <c r="B379" s="41"/>
      <c r="C379" s="41"/>
      <c r="D379" s="41"/>
      <c r="E379" s="41"/>
      <c r="F379" s="41"/>
      <c r="G379" s="93" t="str">
        <f t="shared" si="5"/>
        <v>-</v>
      </c>
      <c r="H379" s="10" t="str">
        <f ca="1">IF(OR(A379="",B379=""),"",IF(EOMONTH(DATE(A379,MATCH(B379,{"Januar","Februar","März","April","Mai","Juni","Juli","August","September","Oktober","November","Dezember"},0),1),0)&lt;=TODAY()-Steuerung!$C$27,"Reif","Frisch"))</f>
        <v/>
      </c>
    </row>
    <row r="380" spans="1:8" ht="15" hidden="1" customHeight="1" x14ac:dyDescent="0.25">
      <c r="A380" s="37"/>
      <c r="B380" s="37"/>
      <c r="C380" s="37"/>
      <c r="D380" s="37"/>
      <c r="E380" s="37"/>
      <c r="F380" s="37"/>
      <c r="G380" s="91" t="str">
        <f t="shared" si="5"/>
        <v>-</v>
      </c>
      <c r="H380" s="14" t="str">
        <f ca="1">IF(OR(A380="",B380=""),"",IF(EOMONTH(DATE(A380,MATCH(B380,{"Januar","Februar","März","April","Mai","Juni","Juli","August","September","Oktober","November","Dezember"},0),1),0)&lt;=TODAY()-Steuerung!$C$27,"Reif","Frisch"))</f>
        <v/>
      </c>
    </row>
    <row r="381" spans="1:8" ht="15" hidden="1" customHeight="1" x14ac:dyDescent="0.25">
      <c r="A381" s="41"/>
      <c r="B381" s="41"/>
      <c r="C381" s="41"/>
      <c r="D381" s="41"/>
      <c r="E381" s="41"/>
      <c r="F381" s="41"/>
      <c r="G381" s="93" t="str">
        <f t="shared" si="5"/>
        <v>-</v>
      </c>
      <c r="H381" s="10" t="str">
        <f ca="1">IF(OR(A381="",B381=""),"",IF(EOMONTH(DATE(A381,MATCH(B381,{"Januar","Februar","März","April","Mai","Juni","Juli","August","September","Oktober","November","Dezember"},0),1),0)&lt;=TODAY()-Steuerung!$C$27,"Reif","Frisch"))</f>
        <v/>
      </c>
    </row>
    <row r="382" spans="1:8" ht="15" hidden="1" customHeight="1" x14ac:dyDescent="0.25">
      <c r="A382" s="37"/>
      <c r="B382" s="37"/>
      <c r="C382" s="37"/>
      <c r="D382" s="37"/>
      <c r="E382" s="37"/>
      <c r="F382" s="37"/>
      <c r="G382" s="91" t="str">
        <f t="shared" si="5"/>
        <v>-</v>
      </c>
      <c r="H382" s="14" t="str">
        <f ca="1">IF(OR(A382="",B382=""),"",IF(EOMONTH(DATE(A382,MATCH(B382,{"Januar","Februar","März","April","Mai","Juni","Juli","August","September","Oktober","November","Dezember"},0),1),0)&lt;=TODAY()-Steuerung!$C$27,"Reif","Frisch"))</f>
        <v/>
      </c>
    </row>
    <row r="383" spans="1:8" ht="15" hidden="1" customHeight="1" x14ac:dyDescent="0.25">
      <c r="A383" s="41"/>
      <c r="B383" s="41"/>
      <c r="C383" s="41"/>
      <c r="D383" s="41"/>
      <c r="E383" s="41"/>
      <c r="F383" s="41"/>
      <c r="G383" s="93" t="str">
        <f t="shared" si="5"/>
        <v>-</v>
      </c>
      <c r="H383" s="10" t="str">
        <f ca="1">IF(OR(A383="",B383=""),"",IF(EOMONTH(DATE(A383,MATCH(B383,{"Januar","Februar","März","April","Mai","Juni","Juli","August","September","Oktober","November","Dezember"},0),1),0)&lt;=TODAY()-Steuerung!$C$27,"Reif","Frisch"))</f>
        <v/>
      </c>
    </row>
    <row r="384" spans="1:8" ht="15" hidden="1" customHeight="1" x14ac:dyDescent="0.25">
      <c r="A384" s="37"/>
      <c r="B384" s="37"/>
      <c r="C384" s="37"/>
      <c r="D384" s="37"/>
      <c r="E384" s="37"/>
      <c r="F384" s="37"/>
      <c r="G384" s="91" t="str">
        <f t="shared" si="5"/>
        <v>-</v>
      </c>
      <c r="H384" s="14" t="str">
        <f ca="1">IF(OR(A384="",B384=""),"",IF(EOMONTH(DATE(A384,MATCH(B384,{"Januar","Februar","März","April","Mai","Juni","Juli","August","September","Oktober","November","Dezember"},0),1),0)&lt;=TODAY()-Steuerung!$C$27,"Reif","Frisch"))</f>
        <v/>
      </c>
    </row>
    <row r="385" spans="1:8" ht="15" hidden="1" customHeight="1" x14ac:dyDescent="0.25">
      <c r="A385" s="41"/>
      <c r="B385" s="41"/>
      <c r="C385" s="41"/>
      <c r="D385" s="41"/>
      <c r="E385" s="41"/>
      <c r="F385" s="41"/>
      <c r="G385" s="93" t="str">
        <f t="shared" si="5"/>
        <v>-</v>
      </c>
      <c r="H385" s="10" t="str">
        <f ca="1">IF(OR(A385="",B385=""),"",IF(EOMONTH(DATE(A385,MATCH(B385,{"Januar","Februar","März","April","Mai","Juni","Juli","August","September","Oktober","November","Dezember"},0),1),0)&lt;=TODAY()-Steuerung!$C$27,"Reif","Frisch"))</f>
        <v/>
      </c>
    </row>
    <row r="386" spans="1:8" ht="15" hidden="1" customHeight="1" x14ac:dyDescent="0.25">
      <c r="A386" s="37"/>
      <c r="B386" s="37"/>
      <c r="C386" s="37"/>
      <c r="D386" s="37"/>
      <c r="E386" s="37"/>
      <c r="F386" s="37"/>
      <c r="G386" s="91" t="str">
        <f t="shared" si="5"/>
        <v>-</v>
      </c>
      <c r="H386" s="14" t="str">
        <f ca="1">IF(OR(A386="",B386=""),"",IF(EOMONTH(DATE(A386,MATCH(B386,{"Januar","Februar","März","April","Mai","Juni","Juli","August","September","Oktober","November","Dezember"},0),1),0)&lt;=TODAY()-Steuerung!$C$27,"Reif","Frisch"))</f>
        <v/>
      </c>
    </row>
    <row r="387" spans="1:8" ht="15" hidden="1" customHeight="1" x14ac:dyDescent="0.25">
      <c r="A387" s="41"/>
      <c r="B387" s="41"/>
      <c r="C387" s="41"/>
      <c r="D387" s="41"/>
      <c r="E387" s="41"/>
      <c r="F387" s="41"/>
      <c r="G387" s="93" t="str">
        <f t="shared" si="5"/>
        <v>-</v>
      </c>
      <c r="H387" s="10" t="str">
        <f ca="1">IF(OR(A387="",B387=""),"",IF(EOMONTH(DATE(A387,MATCH(B387,{"Januar","Februar","März","April","Mai","Juni","Juli","August","September","Oktober","November","Dezember"},0),1),0)&lt;=TODAY()-Steuerung!$C$27,"Reif","Frisch"))</f>
        <v/>
      </c>
    </row>
    <row r="388" spans="1:8" ht="15" hidden="1" customHeight="1" x14ac:dyDescent="0.25">
      <c r="A388" s="37"/>
      <c r="B388" s="37"/>
      <c r="C388" s="37"/>
      <c r="D388" s="37"/>
      <c r="E388" s="37"/>
      <c r="F388" s="37"/>
      <c r="G388" s="91" t="str">
        <f t="shared" ref="G388:G451" si="6">IF(D388=0,"-",E388/D388)</f>
        <v>-</v>
      </c>
      <c r="H388" s="14" t="str">
        <f ca="1">IF(OR(A388="",B388=""),"",IF(EOMONTH(DATE(A388,MATCH(B388,{"Januar","Februar","März","April","Mai","Juni","Juli","August","September","Oktober","November","Dezember"},0),1),0)&lt;=TODAY()-Steuerung!$C$27,"Reif","Frisch"))</f>
        <v/>
      </c>
    </row>
    <row r="389" spans="1:8" ht="15" hidden="1" customHeight="1" x14ac:dyDescent="0.25">
      <c r="A389" s="41"/>
      <c r="B389" s="41"/>
      <c r="C389" s="41"/>
      <c r="D389" s="41"/>
      <c r="E389" s="41"/>
      <c r="F389" s="41"/>
      <c r="G389" s="93" t="str">
        <f t="shared" si="6"/>
        <v>-</v>
      </c>
      <c r="H389" s="10" t="str">
        <f ca="1">IF(OR(A389="",B389=""),"",IF(EOMONTH(DATE(A389,MATCH(B389,{"Januar","Februar","März","April","Mai","Juni","Juli","August","September","Oktober","November","Dezember"},0),1),0)&lt;=TODAY()-Steuerung!$C$27,"Reif","Frisch"))</f>
        <v/>
      </c>
    </row>
    <row r="390" spans="1:8" ht="15" hidden="1" customHeight="1" x14ac:dyDescent="0.25">
      <c r="A390" s="37"/>
      <c r="B390" s="37"/>
      <c r="C390" s="37"/>
      <c r="D390" s="37"/>
      <c r="E390" s="37"/>
      <c r="F390" s="37"/>
      <c r="G390" s="91" t="str">
        <f t="shared" si="6"/>
        <v>-</v>
      </c>
      <c r="H390" s="14" t="str">
        <f ca="1">IF(OR(A390="",B390=""),"",IF(EOMONTH(DATE(A390,MATCH(B390,{"Januar","Februar","März","April","Mai","Juni","Juli","August","September","Oktober","November","Dezember"},0),1),0)&lt;=TODAY()-Steuerung!$C$27,"Reif","Frisch"))</f>
        <v/>
      </c>
    </row>
    <row r="391" spans="1:8" ht="15" hidden="1" customHeight="1" x14ac:dyDescent="0.25">
      <c r="A391" s="41"/>
      <c r="B391" s="41"/>
      <c r="C391" s="41"/>
      <c r="D391" s="41"/>
      <c r="E391" s="41"/>
      <c r="F391" s="41"/>
      <c r="G391" s="93" t="str">
        <f t="shared" si="6"/>
        <v>-</v>
      </c>
      <c r="H391" s="10" t="str">
        <f ca="1">IF(OR(A391="",B391=""),"",IF(EOMONTH(DATE(A391,MATCH(B391,{"Januar","Februar","März","April","Mai","Juni","Juli","August","September","Oktober","November","Dezember"},0),1),0)&lt;=TODAY()-Steuerung!$C$27,"Reif","Frisch"))</f>
        <v/>
      </c>
    </row>
    <row r="392" spans="1:8" ht="15" hidden="1" customHeight="1" x14ac:dyDescent="0.25">
      <c r="A392" s="37"/>
      <c r="B392" s="37"/>
      <c r="C392" s="37"/>
      <c r="D392" s="37"/>
      <c r="E392" s="37"/>
      <c r="F392" s="37"/>
      <c r="G392" s="91" t="str">
        <f t="shared" si="6"/>
        <v>-</v>
      </c>
      <c r="H392" s="14" t="str">
        <f ca="1">IF(OR(A392="",B392=""),"",IF(EOMONTH(DATE(A392,MATCH(B392,{"Januar","Februar","März","April","Mai","Juni","Juli","August","September","Oktober","November","Dezember"},0),1),0)&lt;=TODAY()-Steuerung!$C$27,"Reif","Frisch"))</f>
        <v/>
      </c>
    </row>
    <row r="393" spans="1:8" ht="15" hidden="1" customHeight="1" x14ac:dyDescent="0.25">
      <c r="A393" s="41"/>
      <c r="B393" s="41"/>
      <c r="C393" s="41"/>
      <c r="D393" s="41"/>
      <c r="E393" s="41"/>
      <c r="F393" s="41"/>
      <c r="G393" s="93" t="str">
        <f t="shared" si="6"/>
        <v>-</v>
      </c>
      <c r="H393" s="10" t="str">
        <f ca="1">IF(OR(A393="",B393=""),"",IF(EOMONTH(DATE(A393,MATCH(B393,{"Januar","Februar","März","April","Mai","Juni","Juli","August","September","Oktober","November","Dezember"},0),1),0)&lt;=TODAY()-Steuerung!$C$27,"Reif","Frisch"))</f>
        <v/>
      </c>
    </row>
    <row r="394" spans="1:8" ht="15" hidden="1" customHeight="1" x14ac:dyDescent="0.25">
      <c r="A394" s="37"/>
      <c r="B394" s="37"/>
      <c r="C394" s="37"/>
      <c r="D394" s="37"/>
      <c r="E394" s="37"/>
      <c r="F394" s="37"/>
      <c r="G394" s="91" t="str">
        <f t="shared" si="6"/>
        <v>-</v>
      </c>
      <c r="H394" s="14" t="str">
        <f ca="1">IF(OR(A394="",B394=""),"",IF(EOMONTH(DATE(A394,MATCH(B394,{"Januar","Februar","März","April","Mai","Juni","Juli","August","September","Oktober","November","Dezember"},0),1),0)&lt;=TODAY()-Steuerung!$C$27,"Reif","Frisch"))</f>
        <v/>
      </c>
    </row>
    <row r="395" spans="1:8" ht="15" hidden="1" customHeight="1" x14ac:dyDescent="0.25">
      <c r="A395" s="41"/>
      <c r="B395" s="41"/>
      <c r="C395" s="41"/>
      <c r="D395" s="41"/>
      <c r="E395" s="41"/>
      <c r="F395" s="41"/>
      <c r="G395" s="93" t="str">
        <f t="shared" si="6"/>
        <v>-</v>
      </c>
      <c r="H395" s="10" t="str">
        <f ca="1">IF(OR(A395="",B395=""),"",IF(EOMONTH(DATE(A395,MATCH(B395,{"Januar","Februar","März","April","Mai","Juni","Juli","August","September","Oktober","November","Dezember"},0),1),0)&lt;=TODAY()-Steuerung!$C$27,"Reif","Frisch"))</f>
        <v/>
      </c>
    </row>
    <row r="396" spans="1:8" ht="15" hidden="1" customHeight="1" x14ac:dyDescent="0.25">
      <c r="A396" s="37"/>
      <c r="B396" s="37"/>
      <c r="C396" s="37"/>
      <c r="D396" s="37"/>
      <c r="E396" s="37"/>
      <c r="F396" s="37"/>
      <c r="G396" s="91" t="str">
        <f t="shared" si="6"/>
        <v>-</v>
      </c>
      <c r="H396" s="14" t="str">
        <f ca="1">IF(OR(A396="",B396=""),"",IF(EOMONTH(DATE(A396,MATCH(B396,{"Januar","Februar","März","April","Mai","Juni","Juli","August","September","Oktober","November","Dezember"},0),1),0)&lt;=TODAY()-Steuerung!$C$27,"Reif","Frisch"))</f>
        <v/>
      </c>
    </row>
    <row r="397" spans="1:8" ht="15" hidden="1" customHeight="1" x14ac:dyDescent="0.25">
      <c r="A397" s="41"/>
      <c r="B397" s="41"/>
      <c r="C397" s="41"/>
      <c r="D397" s="41"/>
      <c r="E397" s="41"/>
      <c r="F397" s="41"/>
      <c r="G397" s="93" t="str">
        <f t="shared" si="6"/>
        <v>-</v>
      </c>
      <c r="H397" s="10" t="str">
        <f ca="1">IF(OR(A397="",B397=""),"",IF(EOMONTH(DATE(A397,MATCH(B397,{"Januar","Februar","März","April","Mai","Juni","Juli","August","September","Oktober","November","Dezember"},0),1),0)&lt;=TODAY()-Steuerung!$C$27,"Reif","Frisch"))</f>
        <v/>
      </c>
    </row>
    <row r="398" spans="1:8" ht="15" hidden="1" customHeight="1" x14ac:dyDescent="0.25">
      <c r="A398" s="37"/>
      <c r="B398" s="37"/>
      <c r="C398" s="37"/>
      <c r="D398" s="37"/>
      <c r="E398" s="37"/>
      <c r="F398" s="37"/>
      <c r="G398" s="91" t="str">
        <f t="shared" si="6"/>
        <v>-</v>
      </c>
      <c r="H398" s="14" t="str">
        <f ca="1">IF(OR(A398="",B398=""),"",IF(EOMONTH(DATE(A398,MATCH(B398,{"Januar","Februar","März","April","Mai","Juni","Juli","August","September","Oktober","November","Dezember"},0),1),0)&lt;=TODAY()-Steuerung!$C$27,"Reif","Frisch"))</f>
        <v/>
      </c>
    </row>
    <row r="399" spans="1:8" ht="15" hidden="1" customHeight="1" x14ac:dyDescent="0.25">
      <c r="A399" s="41"/>
      <c r="B399" s="41"/>
      <c r="C399" s="41"/>
      <c r="D399" s="41"/>
      <c r="E399" s="41"/>
      <c r="F399" s="41"/>
      <c r="G399" s="93" t="str">
        <f t="shared" si="6"/>
        <v>-</v>
      </c>
      <c r="H399" s="10" t="str">
        <f ca="1">IF(OR(A399="",B399=""),"",IF(EOMONTH(DATE(A399,MATCH(B399,{"Januar","Februar","März","April","Mai","Juni","Juli","August","September","Oktober","November","Dezember"},0),1),0)&lt;=TODAY()-Steuerung!$C$27,"Reif","Frisch"))</f>
        <v/>
      </c>
    </row>
    <row r="400" spans="1:8" ht="15" hidden="1" customHeight="1" x14ac:dyDescent="0.25">
      <c r="A400" s="37"/>
      <c r="B400" s="37"/>
      <c r="C400" s="37"/>
      <c r="D400" s="37"/>
      <c r="E400" s="37"/>
      <c r="F400" s="37"/>
      <c r="G400" s="91" t="str">
        <f t="shared" si="6"/>
        <v>-</v>
      </c>
      <c r="H400" s="14" t="str">
        <f ca="1">IF(OR(A400="",B400=""),"",IF(EOMONTH(DATE(A400,MATCH(B400,{"Januar","Februar","März","April","Mai","Juni","Juli","August","September","Oktober","November","Dezember"},0),1),0)&lt;=TODAY()-Steuerung!$C$27,"Reif","Frisch"))</f>
        <v/>
      </c>
    </row>
    <row r="401" spans="1:8" ht="15" hidden="1" customHeight="1" x14ac:dyDescent="0.25">
      <c r="A401" s="41"/>
      <c r="B401" s="41"/>
      <c r="C401" s="41"/>
      <c r="D401" s="41"/>
      <c r="E401" s="41"/>
      <c r="F401" s="41"/>
      <c r="G401" s="93" t="str">
        <f t="shared" si="6"/>
        <v>-</v>
      </c>
      <c r="H401" s="10" t="str">
        <f ca="1">IF(OR(A401="",B401=""),"",IF(EOMONTH(DATE(A401,MATCH(B401,{"Januar","Februar","März","April","Mai","Juni","Juli","August","September","Oktober","November","Dezember"},0),1),0)&lt;=TODAY()-Steuerung!$C$27,"Reif","Frisch"))</f>
        <v/>
      </c>
    </row>
    <row r="402" spans="1:8" ht="15" hidden="1" customHeight="1" x14ac:dyDescent="0.25">
      <c r="A402" s="37"/>
      <c r="B402" s="37"/>
      <c r="C402" s="37"/>
      <c r="D402" s="37"/>
      <c r="E402" s="37"/>
      <c r="F402" s="37"/>
      <c r="G402" s="91" t="str">
        <f t="shared" si="6"/>
        <v>-</v>
      </c>
      <c r="H402" s="14" t="str">
        <f ca="1">IF(OR(A402="",B402=""),"",IF(EOMONTH(DATE(A402,MATCH(B402,{"Januar","Februar","März","April","Mai","Juni","Juli","August","September","Oktober","November","Dezember"},0),1),0)&lt;=TODAY()-Steuerung!$C$27,"Reif","Frisch"))</f>
        <v/>
      </c>
    </row>
    <row r="403" spans="1:8" ht="15" hidden="1" customHeight="1" x14ac:dyDescent="0.25">
      <c r="A403" s="41"/>
      <c r="B403" s="41"/>
      <c r="C403" s="41"/>
      <c r="D403" s="41"/>
      <c r="E403" s="41"/>
      <c r="F403" s="41"/>
      <c r="G403" s="93" t="str">
        <f t="shared" si="6"/>
        <v>-</v>
      </c>
      <c r="H403" s="10" t="str">
        <f ca="1">IF(OR(A403="",B403=""),"",IF(EOMONTH(DATE(A403,MATCH(B403,{"Januar","Februar","März","April","Mai","Juni","Juli","August","September","Oktober","November","Dezember"},0),1),0)&lt;=TODAY()-Steuerung!$C$27,"Reif","Frisch"))</f>
        <v/>
      </c>
    </row>
    <row r="404" spans="1:8" ht="15" hidden="1" customHeight="1" x14ac:dyDescent="0.25">
      <c r="A404" s="37"/>
      <c r="B404" s="37"/>
      <c r="C404" s="37"/>
      <c r="D404" s="37"/>
      <c r="E404" s="37"/>
      <c r="F404" s="37"/>
      <c r="G404" s="91" t="str">
        <f t="shared" si="6"/>
        <v>-</v>
      </c>
      <c r="H404" s="14" t="str">
        <f ca="1">IF(OR(A404="",B404=""),"",IF(EOMONTH(DATE(A404,MATCH(B404,{"Januar","Februar","März","April","Mai","Juni","Juli","August","September","Oktober","November","Dezember"},0),1),0)&lt;=TODAY()-Steuerung!$C$27,"Reif","Frisch"))</f>
        <v/>
      </c>
    </row>
    <row r="405" spans="1:8" ht="15" hidden="1" customHeight="1" x14ac:dyDescent="0.25">
      <c r="A405" s="41"/>
      <c r="B405" s="41"/>
      <c r="C405" s="41"/>
      <c r="D405" s="41"/>
      <c r="E405" s="41"/>
      <c r="F405" s="41"/>
      <c r="G405" s="93" t="str">
        <f t="shared" si="6"/>
        <v>-</v>
      </c>
      <c r="H405" s="10" t="str">
        <f ca="1">IF(OR(A405="",B405=""),"",IF(EOMONTH(DATE(A405,MATCH(B405,{"Januar","Februar","März","April","Mai","Juni","Juli","August","September","Oktober","November","Dezember"},0),1),0)&lt;=TODAY()-Steuerung!$C$27,"Reif","Frisch"))</f>
        <v/>
      </c>
    </row>
    <row r="406" spans="1:8" ht="15" hidden="1" customHeight="1" x14ac:dyDescent="0.25">
      <c r="A406" s="37"/>
      <c r="B406" s="37"/>
      <c r="C406" s="37"/>
      <c r="D406" s="37"/>
      <c r="E406" s="37"/>
      <c r="F406" s="37"/>
      <c r="G406" s="91" t="str">
        <f t="shared" si="6"/>
        <v>-</v>
      </c>
      <c r="H406" s="14" t="str">
        <f ca="1">IF(OR(A406="",B406=""),"",IF(EOMONTH(DATE(A406,MATCH(B406,{"Januar","Februar","März","April","Mai","Juni","Juli","August","September","Oktober","November","Dezember"},0),1),0)&lt;=TODAY()-Steuerung!$C$27,"Reif","Frisch"))</f>
        <v/>
      </c>
    </row>
    <row r="407" spans="1:8" ht="15" hidden="1" customHeight="1" x14ac:dyDescent="0.25">
      <c r="A407" s="41"/>
      <c r="B407" s="41"/>
      <c r="C407" s="41"/>
      <c r="D407" s="41"/>
      <c r="E407" s="41"/>
      <c r="F407" s="41"/>
      <c r="G407" s="93" t="str">
        <f t="shared" si="6"/>
        <v>-</v>
      </c>
      <c r="H407" s="10" t="str">
        <f ca="1">IF(OR(A407="",B407=""),"",IF(EOMONTH(DATE(A407,MATCH(B407,{"Januar","Februar","März","April","Mai","Juni","Juli","August","September","Oktober","November","Dezember"},0),1),0)&lt;=TODAY()-Steuerung!$C$27,"Reif","Frisch"))</f>
        <v/>
      </c>
    </row>
    <row r="408" spans="1:8" ht="15" hidden="1" customHeight="1" x14ac:dyDescent="0.25">
      <c r="A408" s="37"/>
      <c r="B408" s="37"/>
      <c r="C408" s="37"/>
      <c r="D408" s="37"/>
      <c r="E408" s="37"/>
      <c r="F408" s="37"/>
      <c r="G408" s="91" t="str">
        <f t="shared" si="6"/>
        <v>-</v>
      </c>
      <c r="H408" s="14" t="str">
        <f ca="1">IF(OR(A408="",B408=""),"",IF(EOMONTH(DATE(A408,MATCH(B408,{"Januar","Februar","März","April","Mai","Juni","Juli","August","September","Oktober","November","Dezember"},0),1),0)&lt;=TODAY()-Steuerung!$C$27,"Reif","Frisch"))</f>
        <v/>
      </c>
    </row>
    <row r="409" spans="1:8" ht="15" hidden="1" customHeight="1" x14ac:dyDescent="0.25">
      <c r="A409" s="41"/>
      <c r="B409" s="41"/>
      <c r="C409" s="41"/>
      <c r="D409" s="41"/>
      <c r="E409" s="41"/>
      <c r="F409" s="41"/>
      <c r="G409" s="93" t="str">
        <f t="shared" si="6"/>
        <v>-</v>
      </c>
      <c r="H409" s="10" t="str">
        <f ca="1">IF(OR(A409="",B409=""),"",IF(EOMONTH(DATE(A409,MATCH(B409,{"Januar","Februar","März","April","Mai","Juni","Juli","August","September","Oktober","November","Dezember"},0),1),0)&lt;=TODAY()-Steuerung!$C$27,"Reif","Frisch"))</f>
        <v/>
      </c>
    </row>
    <row r="410" spans="1:8" ht="15" hidden="1" customHeight="1" x14ac:dyDescent="0.25">
      <c r="A410" s="37"/>
      <c r="B410" s="37"/>
      <c r="C410" s="37"/>
      <c r="D410" s="37"/>
      <c r="E410" s="37"/>
      <c r="F410" s="37"/>
      <c r="G410" s="91" t="str">
        <f t="shared" si="6"/>
        <v>-</v>
      </c>
      <c r="H410" s="14" t="str">
        <f ca="1">IF(OR(A410="",B410=""),"",IF(EOMONTH(DATE(A410,MATCH(B410,{"Januar","Februar","März","April","Mai","Juni","Juli","August","September","Oktober","November","Dezember"},0),1),0)&lt;=TODAY()-Steuerung!$C$27,"Reif","Frisch"))</f>
        <v/>
      </c>
    </row>
    <row r="411" spans="1:8" ht="15" hidden="1" customHeight="1" x14ac:dyDescent="0.25">
      <c r="A411" s="41"/>
      <c r="B411" s="41"/>
      <c r="C411" s="41"/>
      <c r="D411" s="41"/>
      <c r="E411" s="41"/>
      <c r="F411" s="41"/>
      <c r="G411" s="93" t="str">
        <f t="shared" si="6"/>
        <v>-</v>
      </c>
      <c r="H411" s="10" t="str">
        <f ca="1">IF(OR(A411="",B411=""),"",IF(EOMONTH(DATE(A411,MATCH(B411,{"Januar","Februar","März","April","Mai","Juni","Juli","August","September","Oktober","November","Dezember"},0),1),0)&lt;=TODAY()-Steuerung!$C$27,"Reif","Frisch"))</f>
        <v/>
      </c>
    </row>
    <row r="412" spans="1:8" ht="15" hidden="1" customHeight="1" x14ac:dyDescent="0.25">
      <c r="A412" s="37"/>
      <c r="B412" s="37"/>
      <c r="C412" s="37"/>
      <c r="D412" s="37"/>
      <c r="E412" s="37"/>
      <c r="F412" s="37"/>
      <c r="G412" s="91" t="str">
        <f t="shared" si="6"/>
        <v>-</v>
      </c>
      <c r="H412" s="14" t="str">
        <f ca="1">IF(OR(A412="",B412=""),"",IF(EOMONTH(DATE(A412,MATCH(B412,{"Januar","Februar","März","April","Mai","Juni","Juli","August","September","Oktober","November","Dezember"},0),1),0)&lt;=TODAY()-Steuerung!$C$27,"Reif","Frisch"))</f>
        <v/>
      </c>
    </row>
    <row r="413" spans="1:8" ht="15" hidden="1" customHeight="1" x14ac:dyDescent="0.25">
      <c r="A413" s="41"/>
      <c r="B413" s="41"/>
      <c r="C413" s="41"/>
      <c r="D413" s="41"/>
      <c r="E413" s="41"/>
      <c r="F413" s="41"/>
      <c r="G413" s="93" t="str">
        <f t="shared" si="6"/>
        <v>-</v>
      </c>
      <c r="H413" s="10" t="str">
        <f ca="1">IF(OR(A413="",B413=""),"",IF(EOMONTH(DATE(A413,MATCH(B413,{"Januar","Februar","März","April","Mai","Juni","Juli","August","September","Oktober","November","Dezember"},0),1),0)&lt;=TODAY()-Steuerung!$C$27,"Reif","Frisch"))</f>
        <v/>
      </c>
    </row>
    <row r="414" spans="1:8" ht="15" hidden="1" customHeight="1" x14ac:dyDescent="0.25">
      <c r="A414" s="37"/>
      <c r="B414" s="37"/>
      <c r="C414" s="37"/>
      <c r="D414" s="37"/>
      <c r="E414" s="37"/>
      <c r="F414" s="37"/>
      <c r="G414" s="91" t="str">
        <f t="shared" si="6"/>
        <v>-</v>
      </c>
      <c r="H414" s="14" t="str">
        <f ca="1">IF(OR(A414="",B414=""),"",IF(EOMONTH(DATE(A414,MATCH(B414,{"Januar","Februar","März","April","Mai","Juni","Juli","August","September","Oktober","November","Dezember"},0),1),0)&lt;=TODAY()-Steuerung!$C$27,"Reif","Frisch"))</f>
        <v/>
      </c>
    </row>
    <row r="415" spans="1:8" ht="15" hidden="1" customHeight="1" x14ac:dyDescent="0.25">
      <c r="A415" s="41"/>
      <c r="B415" s="41"/>
      <c r="C415" s="41"/>
      <c r="D415" s="41"/>
      <c r="E415" s="41"/>
      <c r="F415" s="41"/>
      <c r="G415" s="93" t="str">
        <f t="shared" si="6"/>
        <v>-</v>
      </c>
      <c r="H415" s="10" t="str">
        <f ca="1">IF(OR(A415="",B415=""),"",IF(EOMONTH(DATE(A415,MATCH(B415,{"Januar","Februar","März","April","Mai","Juni","Juli","August","September","Oktober","November","Dezember"},0),1),0)&lt;=TODAY()-Steuerung!$C$27,"Reif","Frisch"))</f>
        <v/>
      </c>
    </row>
    <row r="416" spans="1:8" ht="15" hidden="1" customHeight="1" x14ac:dyDescent="0.25">
      <c r="A416" s="37"/>
      <c r="B416" s="37"/>
      <c r="C416" s="37"/>
      <c r="D416" s="37"/>
      <c r="E416" s="37"/>
      <c r="F416" s="37"/>
      <c r="G416" s="91" t="str">
        <f t="shared" si="6"/>
        <v>-</v>
      </c>
      <c r="H416" s="14" t="str">
        <f ca="1">IF(OR(A416="",B416=""),"",IF(EOMONTH(DATE(A416,MATCH(B416,{"Januar","Februar","März","April","Mai","Juni","Juli","August","September","Oktober","November","Dezember"},0),1),0)&lt;=TODAY()-Steuerung!$C$27,"Reif","Frisch"))</f>
        <v/>
      </c>
    </row>
    <row r="417" spans="1:8" ht="15" hidden="1" customHeight="1" x14ac:dyDescent="0.25">
      <c r="A417" s="41"/>
      <c r="B417" s="41"/>
      <c r="C417" s="41"/>
      <c r="D417" s="41"/>
      <c r="E417" s="41"/>
      <c r="F417" s="41"/>
      <c r="G417" s="93" t="str">
        <f t="shared" si="6"/>
        <v>-</v>
      </c>
      <c r="H417" s="10" t="str">
        <f ca="1">IF(OR(A417="",B417=""),"",IF(EOMONTH(DATE(A417,MATCH(B417,{"Januar","Februar","März","April","Mai","Juni","Juli","August","September","Oktober","November","Dezember"},0),1),0)&lt;=TODAY()-Steuerung!$C$27,"Reif","Frisch"))</f>
        <v/>
      </c>
    </row>
    <row r="418" spans="1:8" ht="15" hidden="1" customHeight="1" x14ac:dyDescent="0.25">
      <c r="A418" s="37"/>
      <c r="B418" s="37"/>
      <c r="C418" s="37"/>
      <c r="D418" s="37"/>
      <c r="E418" s="37"/>
      <c r="F418" s="37"/>
      <c r="G418" s="91" t="str">
        <f t="shared" si="6"/>
        <v>-</v>
      </c>
      <c r="H418" s="14" t="str">
        <f ca="1">IF(OR(A418="",B418=""),"",IF(EOMONTH(DATE(A418,MATCH(B418,{"Januar","Februar","März","April","Mai","Juni","Juli","August","September","Oktober","November","Dezember"},0),1),0)&lt;=TODAY()-Steuerung!$C$27,"Reif","Frisch"))</f>
        <v/>
      </c>
    </row>
    <row r="419" spans="1:8" ht="15" hidden="1" customHeight="1" x14ac:dyDescent="0.25">
      <c r="A419" s="41"/>
      <c r="B419" s="41"/>
      <c r="C419" s="41"/>
      <c r="D419" s="41"/>
      <c r="E419" s="41"/>
      <c r="F419" s="41"/>
      <c r="G419" s="93" t="str">
        <f t="shared" si="6"/>
        <v>-</v>
      </c>
      <c r="H419" s="10" t="str">
        <f ca="1">IF(OR(A419="",B419=""),"",IF(EOMONTH(DATE(A419,MATCH(B419,{"Januar","Februar","März","April","Mai","Juni","Juli","August","September","Oktober","November","Dezember"},0),1),0)&lt;=TODAY()-Steuerung!$C$27,"Reif","Frisch"))</f>
        <v/>
      </c>
    </row>
    <row r="420" spans="1:8" ht="15" hidden="1" customHeight="1" x14ac:dyDescent="0.25">
      <c r="A420" s="37"/>
      <c r="B420" s="37"/>
      <c r="C420" s="37"/>
      <c r="D420" s="37"/>
      <c r="E420" s="37"/>
      <c r="F420" s="37"/>
      <c r="G420" s="91" t="str">
        <f t="shared" si="6"/>
        <v>-</v>
      </c>
      <c r="H420" s="14" t="str">
        <f ca="1">IF(OR(A420="",B420=""),"",IF(EOMONTH(DATE(A420,MATCH(B420,{"Januar","Februar","März","April","Mai","Juni","Juli","August","September","Oktober","November","Dezember"},0),1),0)&lt;=TODAY()-Steuerung!$C$27,"Reif","Frisch"))</f>
        <v/>
      </c>
    </row>
    <row r="421" spans="1:8" ht="15" hidden="1" customHeight="1" x14ac:dyDescent="0.25">
      <c r="A421" s="41"/>
      <c r="B421" s="41"/>
      <c r="C421" s="41"/>
      <c r="D421" s="41"/>
      <c r="E421" s="41"/>
      <c r="F421" s="41"/>
      <c r="G421" s="93" t="str">
        <f t="shared" si="6"/>
        <v>-</v>
      </c>
      <c r="H421" s="10" t="str">
        <f ca="1">IF(OR(A421="",B421=""),"",IF(EOMONTH(DATE(A421,MATCH(B421,{"Januar","Februar","März","April","Mai","Juni","Juli","August","September","Oktober","November","Dezember"},0),1),0)&lt;=TODAY()-Steuerung!$C$27,"Reif","Frisch"))</f>
        <v/>
      </c>
    </row>
    <row r="422" spans="1:8" ht="15" hidden="1" customHeight="1" x14ac:dyDescent="0.25">
      <c r="A422" s="37"/>
      <c r="B422" s="37"/>
      <c r="C422" s="37"/>
      <c r="D422" s="37"/>
      <c r="E422" s="37"/>
      <c r="F422" s="37"/>
      <c r="G422" s="91" t="str">
        <f t="shared" si="6"/>
        <v>-</v>
      </c>
      <c r="H422" s="14" t="str">
        <f ca="1">IF(OR(A422="",B422=""),"",IF(EOMONTH(DATE(A422,MATCH(B422,{"Januar","Februar","März","April","Mai","Juni","Juli","August","September","Oktober","November","Dezember"},0),1),0)&lt;=TODAY()-Steuerung!$C$27,"Reif","Frisch"))</f>
        <v/>
      </c>
    </row>
    <row r="423" spans="1:8" ht="15" hidden="1" customHeight="1" x14ac:dyDescent="0.25">
      <c r="A423" s="41"/>
      <c r="B423" s="41"/>
      <c r="C423" s="41"/>
      <c r="D423" s="41"/>
      <c r="E423" s="41"/>
      <c r="F423" s="41"/>
      <c r="G423" s="93" t="str">
        <f t="shared" si="6"/>
        <v>-</v>
      </c>
      <c r="H423" s="10" t="str">
        <f ca="1">IF(OR(A423="",B423=""),"",IF(EOMONTH(DATE(A423,MATCH(B423,{"Januar","Februar","März","April","Mai","Juni","Juli","August","September","Oktober","November","Dezember"},0),1),0)&lt;=TODAY()-Steuerung!$C$27,"Reif","Frisch"))</f>
        <v/>
      </c>
    </row>
    <row r="424" spans="1:8" ht="15" hidden="1" customHeight="1" x14ac:dyDescent="0.25">
      <c r="A424" s="37"/>
      <c r="B424" s="37"/>
      <c r="C424" s="37"/>
      <c r="D424" s="37"/>
      <c r="E424" s="37"/>
      <c r="F424" s="37"/>
      <c r="G424" s="91" t="str">
        <f t="shared" si="6"/>
        <v>-</v>
      </c>
      <c r="H424" s="14" t="str">
        <f ca="1">IF(OR(A424="",B424=""),"",IF(EOMONTH(DATE(A424,MATCH(B424,{"Januar","Februar","März","April","Mai","Juni","Juli","August","September","Oktober","November","Dezember"},0),1),0)&lt;=TODAY()-Steuerung!$C$27,"Reif","Frisch"))</f>
        <v/>
      </c>
    </row>
    <row r="425" spans="1:8" ht="15" hidden="1" customHeight="1" x14ac:dyDescent="0.25">
      <c r="A425" s="41"/>
      <c r="B425" s="41"/>
      <c r="C425" s="41"/>
      <c r="D425" s="41"/>
      <c r="E425" s="41"/>
      <c r="F425" s="41"/>
      <c r="G425" s="93" t="str">
        <f t="shared" si="6"/>
        <v>-</v>
      </c>
      <c r="H425" s="10" t="str">
        <f ca="1">IF(OR(A425="",B425=""),"",IF(EOMONTH(DATE(A425,MATCH(B425,{"Januar","Februar","März","April","Mai","Juni","Juli","August","September","Oktober","November","Dezember"},0),1),0)&lt;=TODAY()-Steuerung!$C$27,"Reif","Frisch"))</f>
        <v/>
      </c>
    </row>
    <row r="426" spans="1:8" ht="15" hidden="1" customHeight="1" x14ac:dyDescent="0.25">
      <c r="A426" s="37"/>
      <c r="B426" s="37"/>
      <c r="C426" s="37"/>
      <c r="D426" s="37"/>
      <c r="E426" s="37"/>
      <c r="F426" s="37"/>
      <c r="G426" s="91" t="str">
        <f t="shared" si="6"/>
        <v>-</v>
      </c>
      <c r="H426" s="14" t="str">
        <f ca="1">IF(OR(A426="",B426=""),"",IF(EOMONTH(DATE(A426,MATCH(B426,{"Januar","Februar","März","April","Mai","Juni","Juli","August","September","Oktober","November","Dezember"},0),1),0)&lt;=TODAY()-Steuerung!$C$27,"Reif","Frisch"))</f>
        <v/>
      </c>
    </row>
    <row r="427" spans="1:8" ht="15" hidden="1" customHeight="1" x14ac:dyDescent="0.25">
      <c r="A427" s="41"/>
      <c r="B427" s="41"/>
      <c r="C427" s="41"/>
      <c r="D427" s="41"/>
      <c r="E427" s="41"/>
      <c r="F427" s="41"/>
      <c r="G427" s="93" t="str">
        <f t="shared" si="6"/>
        <v>-</v>
      </c>
      <c r="H427" s="10" t="str">
        <f ca="1">IF(OR(A427="",B427=""),"",IF(EOMONTH(DATE(A427,MATCH(B427,{"Januar","Februar","März","April","Mai","Juni","Juli","August","September","Oktober","November","Dezember"},0),1),0)&lt;=TODAY()-Steuerung!$C$27,"Reif","Frisch"))</f>
        <v/>
      </c>
    </row>
    <row r="428" spans="1:8" ht="15" hidden="1" customHeight="1" x14ac:dyDescent="0.25">
      <c r="A428" s="37"/>
      <c r="B428" s="37"/>
      <c r="C428" s="37"/>
      <c r="D428" s="37"/>
      <c r="E428" s="37"/>
      <c r="F428" s="37"/>
      <c r="G428" s="91" t="str">
        <f t="shared" si="6"/>
        <v>-</v>
      </c>
      <c r="H428" s="14" t="str">
        <f ca="1">IF(OR(A428="",B428=""),"",IF(EOMONTH(DATE(A428,MATCH(B428,{"Januar","Februar","März","April","Mai","Juni","Juli","August","September","Oktober","November","Dezember"},0),1),0)&lt;=TODAY()-Steuerung!$C$27,"Reif","Frisch"))</f>
        <v/>
      </c>
    </row>
    <row r="429" spans="1:8" ht="15" hidden="1" customHeight="1" x14ac:dyDescent="0.25">
      <c r="A429" s="41"/>
      <c r="B429" s="41"/>
      <c r="C429" s="41"/>
      <c r="D429" s="41"/>
      <c r="E429" s="41"/>
      <c r="F429" s="41"/>
      <c r="G429" s="93" t="str">
        <f t="shared" si="6"/>
        <v>-</v>
      </c>
      <c r="H429" s="10" t="str">
        <f ca="1">IF(OR(A429="",B429=""),"",IF(EOMONTH(DATE(A429,MATCH(B429,{"Januar","Februar","März","April","Mai","Juni","Juli","August","September","Oktober","November","Dezember"},0),1),0)&lt;=TODAY()-Steuerung!$C$27,"Reif","Frisch"))</f>
        <v/>
      </c>
    </row>
    <row r="430" spans="1:8" ht="15" hidden="1" customHeight="1" x14ac:dyDescent="0.25">
      <c r="A430" s="37"/>
      <c r="B430" s="37"/>
      <c r="C430" s="37"/>
      <c r="D430" s="37"/>
      <c r="E430" s="37"/>
      <c r="F430" s="37"/>
      <c r="G430" s="91" t="str">
        <f t="shared" si="6"/>
        <v>-</v>
      </c>
      <c r="H430" s="14" t="str">
        <f ca="1">IF(OR(A430="",B430=""),"",IF(EOMONTH(DATE(A430,MATCH(B430,{"Januar","Februar","März","April","Mai","Juni","Juli","August","September","Oktober","November","Dezember"},0),1),0)&lt;=TODAY()-Steuerung!$C$27,"Reif","Frisch"))</f>
        <v/>
      </c>
    </row>
    <row r="431" spans="1:8" ht="15" hidden="1" customHeight="1" x14ac:dyDescent="0.25">
      <c r="A431" s="41"/>
      <c r="B431" s="41"/>
      <c r="C431" s="41"/>
      <c r="D431" s="41"/>
      <c r="E431" s="41"/>
      <c r="F431" s="41"/>
      <c r="G431" s="93" t="str">
        <f t="shared" si="6"/>
        <v>-</v>
      </c>
      <c r="H431" s="10" t="str">
        <f ca="1">IF(OR(A431="",B431=""),"",IF(EOMONTH(DATE(A431,MATCH(B431,{"Januar","Februar","März","April","Mai","Juni","Juli","August","September","Oktober","November","Dezember"},0),1),0)&lt;=TODAY()-Steuerung!$C$27,"Reif","Frisch"))</f>
        <v/>
      </c>
    </row>
    <row r="432" spans="1:8" ht="15" hidden="1" customHeight="1" x14ac:dyDescent="0.25">
      <c r="A432" s="37"/>
      <c r="B432" s="37"/>
      <c r="C432" s="37"/>
      <c r="D432" s="37"/>
      <c r="E432" s="37"/>
      <c r="F432" s="37"/>
      <c r="G432" s="91" t="str">
        <f t="shared" si="6"/>
        <v>-</v>
      </c>
      <c r="H432" s="14" t="str">
        <f ca="1">IF(OR(A432="",B432=""),"",IF(EOMONTH(DATE(A432,MATCH(B432,{"Januar","Februar","März","April","Mai","Juni","Juli","August","September","Oktober","November","Dezember"},0),1),0)&lt;=TODAY()-Steuerung!$C$27,"Reif","Frisch"))</f>
        <v/>
      </c>
    </row>
    <row r="433" spans="1:8" ht="15" hidden="1" customHeight="1" x14ac:dyDescent="0.25">
      <c r="A433" s="41"/>
      <c r="B433" s="41"/>
      <c r="C433" s="41"/>
      <c r="D433" s="41"/>
      <c r="E433" s="41"/>
      <c r="F433" s="41"/>
      <c r="G433" s="93" t="str">
        <f t="shared" si="6"/>
        <v>-</v>
      </c>
      <c r="H433" s="10" t="str">
        <f ca="1">IF(OR(A433="",B433=""),"",IF(EOMONTH(DATE(A433,MATCH(B433,{"Januar","Februar","März","April","Mai","Juni","Juli","August","September","Oktober","November","Dezember"},0),1),0)&lt;=TODAY()-Steuerung!$C$27,"Reif","Frisch"))</f>
        <v/>
      </c>
    </row>
    <row r="434" spans="1:8" ht="15" hidden="1" customHeight="1" x14ac:dyDescent="0.25">
      <c r="A434" s="37"/>
      <c r="B434" s="37"/>
      <c r="C434" s="37"/>
      <c r="D434" s="37"/>
      <c r="E434" s="37"/>
      <c r="F434" s="37"/>
      <c r="G434" s="91" t="str">
        <f t="shared" si="6"/>
        <v>-</v>
      </c>
      <c r="H434" s="14" t="str">
        <f ca="1">IF(OR(A434="",B434=""),"",IF(EOMONTH(DATE(A434,MATCH(B434,{"Januar","Februar","März","April","Mai","Juni","Juli","August","September","Oktober","November","Dezember"},0),1),0)&lt;=TODAY()-Steuerung!$C$27,"Reif","Frisch"))</f>
        <v/>
      </c>
    </row>
    <row r="435" spans="1:8" ht="15" hidden="1" customHeight="1" x14ac:dyDescent="0.25">
      <c r="A435" s="41"/>
      <c r="B435" s="41"/>
      <c r="C435" s="41"/>
      <c r="D435" s="41"/>
      <c r="E435" s="41"/>
      <c r="F435" s="41"/>
      <c r="G435" s="93" t="str">
        <f t="shared" si="6"/>
        <v>-</v>
      </c>
      <c r="H435" s="10" t="str">
        <f ca="1">IF(OR(A435="",B435=""),"",IF(EOMONTH(DATE(A435,MATCH(B435,{"Januar","Februar","März","April","Mai","Juni","Juli","August","September","Oktober","November","Dezember"},0),1),0)&lt;=TODAY()-Steuerung!$C$27,"Reif","Frisch"))</f>
        <v/>
      </c>
    </row>
    <row r="436" spans="1:8" ht="15" hidden="1" customHeight="1" x14ac:dyDescent="0.25">
      <c r="A436" s="37"/>
      <c r="B436" s="37"/>
      <c r="C436" s="37"/>
      <c r="D436" s="37"/>
      <c r="E436" s="37"/>
      <c r="F436" s="37"/>
      <c r="G436" s="91" t="str">
        <f t="shared" si="6"/>
        <v>-</v>
      </c>
      <c r="H436" s="14" t="str">
        <f ca="1">IF(OR(A436="",B436=""),"",IF(EOMONTH(DATE(A436,MATCH(B436,{"Januar","Februar","März","April","Mai","Juni","Juli","August","September","Oktober","November","Dezember"},0),1),0)&lt;=TODAY()-Steuerung!$C$27,"Reif","Frisch"))</f>
        <v/>
      </c>
    </row>
    <row r="437" spans="1:8" ht="15" hidden="1" customHeight="1" x14ac:dyDescent="0.25">
      <c r="A437" s="41"/>
      <c r="B437" s="41"/>
      <c r="C437" s="41"/>
      <c r="D437" s="41"/>
      <c r="E437" s="41"/>
      <c r="F437" s="41"/>
      <c r="G437" s="93" t="str">
        <f t="shared" si="6"/>
        <v>-</v>
      </c>
      <c r="H437" s="10" t="str">
        <f ca="1">IF(OR(A437="",B437=""),"",IF(EOMONTH(DATE(A437,MATCH(B437,{"Januar","Februar","März","April","Mai","Juni","Juli","August","September","Oktober","November","Dezember"},0),1),0)&lt;=TODAY()-Steuerung!$C$27,"Reif","Frisch"))</f>
        <v/>
      </c>
    </row>
    <row r="438" spans="1:8" ht="15" hidden="1" customHeight="1" x14ac:dyDescent="0.25">
      <c r="A438" s="37"/>
      <c r="B438" s="37"/>
      <c r="C438" s="37"/>
      <c r="D438" s="37"/>
      <c r="E438" s="37"/>
      <c r="F438" s="37"/>
      <c r="G438" s="91" t="str">
        <f t="shared" si="6"/>
        <v>-</v>
      </c>
      <c r="H438" s="14" t="str">
        <f ca="1">IF(OR(A438="",B438=""),"",IF(EOMONTH(DATE(A438,MATCH(B438,{"Januar","Februar","März","April","Mai","Juni","Juli","August","September","Oktober","November","Dezember"},0),1),0)&lt;=TODAY()-Steuerung!$C$27,"Reif","Frisch"))</f>
        <v/>
      </c>
    </row>
    <row r="439" spans="1:8" ht="15" hidden="1" customHeight="1" x14ac:dyDescent="0.25">
      <c r="A439" s="41"/>
      <c r="B439" s="41"/>
      <c r="C439" s="41"/>
      <c r="D439" s="41"/>
      <c r="E439" s="41"/>
      <c r="F439" s="41"/>
      <c r="G439" s="93" t="str">
        <f t="shared" si="6"/>
        <v>-</v>
      </c>
      <c r="H439" s="10" t="str">
        <f ca="1">IF(OR(A439="",B439=""),"",IF(EOMONTH(DATE(A439,MATCH(B439,{"Januar","Februar","März","April","Mai","Juni","Juli","August","September","Oktober","November","Dezember"},0),1),0)&lt;=TODAY()-Steuerung!$C$27,"Reif","Frisch"))</f>
        <v/>
      </c>
    </row>
    <row r="440" spans="1:8" ht="15" hidden="1" customHeight="1" x14ac:dyDescent="0.25">
      <c r="A440" s="37"/>
      <c r="B440" s="37"/>
      <c r="C440" s="37"/>
      <c r="D440" s="37"/>
      <c r="E440" s="37"/>
      <c r="F440" s="37"/>
      <c r="G440" s="91" t="str">
        <f t="shared" si="6"/>
        <v>-</v>
      </c>
      <c r="H440" s="14" t="str">
        <f ca="1">IF(OR(A440="",B440=""),"",IF(EOMONTH(DATE(A440,MATCH(B440,{"Januar","Februar","März","April","Mai","Juni","Juli","August","September","Oktober","November","Dezember"},0),1),0)&lt;=TODAY()-Steuerung!$C$27,"Reif","Frisch"))</f>
        <v/>
      </c>
    </row>
    <row r="441" spans="1:8" ht="15" hidden="1" customHeight="1" x14ac:dyDescent="0.25">
      <c r="A441" s="41"/>
      <c r="B441" s="41"/>
      <c r="C441" s="41"/>
      <c r="D441" s="41"/>
      <c r="E441" s="41"/>
      <c r="F441" s="41"/>
      <c r="G441" s="93" t="str">
        <f t="shared" si="6"/>
        <v>-</v>
      </c>
      <c r="H441" s="10" t="str">
        <f ca="1">IF(OR(A441="",B441=""),"",IF(EOMONTH(DATE(A441,MATCH(B441,{"Januar","Februar","März","April","Mai","Juni","Juli","August","September","Oktober","November","Dezember"},0),1),0)&lt;=TODAY()-Steuerung!$C$27,"Reif","Frisch"))</f>
        <v/>
      </c>
    </row>
    <row r="442" spans="1:8" ht="15" hidden="1" customHeight="1" x14ac:dyDescent="0.25">
      <c r="A442" s="37"/>
      <c r="B442" s="37"/>
      <c r="C442" s="37"/>
      <c r="D442" s="37"/>
      <c r="E442" s="37"/>
      <c r="F442" s="37"/>
      <c r="G442" s="91" t="str">
        <f t="shared" si="6"/>
        <v>-</v>
      </c>
      <c r="H442" s="14" t="str">
        <f ca="1">IF(OR(A442="",B442=""),"",IF(EOMONTH(DATE(A442,MATCH(B442,{"Januar","Februar","März","April","Mai","Juni","Juli","August","September","Oktober","November","Dezember"},0),1),0)&lt;=TODAY()-Steuerung!$C$27,"Reif","Frisch"))</f>
        <v/>
      </c>
    </row>
    <row r="443" spans="1:8" ht="15" hidden="1" customHeight="1" x14ac:dyDescent="0.25">
      <c r="A443" s="41"/>
      <c r="B443" s="41"/>
      <c r="C443" s="41"/>
      <c r="D443" s="41"/>
      <c r="E443" s="41"/>
      <c r="F443" s="41"/>
      <c r="G443" s="93" t="str">
        <f t="shared" si="6"/>
        <v>-</v>
      </c>
      <c r="H443" s="10" t="str">
        <f ca="1">IF(OR(A443="",B443=""),"",IF(EOMONTH(DATE(A443,MATCH(B443,{"Januar","Februar","März","April","Mai","Juni","Juli","August","September","Oktober","November","Dezember"},0),1),0)&lt;=TODAY()-Steuerung!$C$27,"Reif","Frisch"))</f>
        <v/>
      </c>
    </row>
    <row r="444" spans="1:8" ht="15" hidden="1" customHeight="1" x14ac:dyDescent="0.25">
      <c r="A444" s="37"/>
      <c r="B444" s="37"/>
      <c r="C444" s="37"/>
      <c r="D444" s="37"/>
      <c r="E444" s="37"/>
      <c r="F444" s="37"/>
      <c r="G444" s="91" t="str">
        <f t="shared" si="6"/>
        <v>-</v>
      </c>
      <c r="H444" s="14" t="str">
        <f ca="1">IF(OR(A444="",B444=""),"",IF(EOMONTH(DATE(A444,MATCH(B444,{"Januar","Februar","März","April","Mai","Juni","Juli","August","September","Oktober","November","Dezember"},0),1),0)&lt;=TODAY()-Steuerung!$C$27,"Reif","Frisch"))</f>
        <v/>
      </c>
    </row>
    <row r="445" spans="1:8" ht="15" hidden="1" customHeight="1" x14ac:dyDescent="0.25">
      <c r="A445" s="41"/>
      <c r="B445" s="41"/>
      <c r="C445" s="41"/>
      <c r="D445" s="41"/>
      <c r="E445" s="41"/>
      <c r="F445" s="41"/>
      <c r="G445" s="93" t="str">
        <f t="shared" si="6"/>
        <v>-</v>
      </c>
      <c r="H445" s="10" t="str">
        <f ca="1">IF(OR(A445="",B445=""),"",IF(EOMONTH(DATE(A445,MATCH(B445,{"Januar","Februar","März","April","Mai","Juni","Juli","August","September","Oktober","November","Dezember"},0),1),0)&lt;=TODAY()-Steuerung!$C$27,"Reif","Frisch"))</f>
        <v/>
      </c>
    </row>
    <row r="446" spans="1:8" ht="15" hidden="1" customHeight="1" x14ac:dyDescent="0.25">
      <c r="A446" s="37"/>
      <c r="B446" s="37"/>
      <c r="C446" s="37"/>
      <c r="D446" s="37"/>
      <c r="E446" s="37"/>
      <c r="F446" s="37"/>
      <c r="G446" s="91" t="str">
        <f t="shared" si="6"/>
        <v>-</v>
      </c>
      <c r="H446" s="14" t="str">
        <f ca="1">IF(OR(A446="",B446=""),"",IF(EOMONTH(DATE(A446,MATCH(B446,{"Januar","Februar","März","April","Mai","Juni","Juli","August","September","Oktober","November","Dezember"},0),1),0)&lt;=TODAY()-Steuerung!$C$27,"Reif","Frisch"))</f>
        <v/>
      </c>
    </row>
    <row r="447" spans="1:8" ht="15" hidden="1" customHeight="1" x14ac:dyDescent="0.25">
      <c r="A447" s="41"/>
      <c r="B447" s="41"/>
      <c r="C447" s="41"/>
      <c r="D447" s="41"/>
      <c r="E447" s="41"/>
      <c r="F447" s="41"/>
      <c r="G447" s="93" t="str">
        <f t="shared" si="6"/>
        <v>-</v>
      </c>
      <c r="H447" s="10" t="str">
        <f ca="1">IF(OR(A447="",B447=""),"",IF(EOMONTH(DATE(A447,MATCH(B447,{"Januar","Februar","März","April","Mai","Juni","Juli","August","September","Oktober","November","Dezember"},0),1),0)&lt;=TODAY()-Steuerung!$C$27,"Reif","Frisch"))</f>
        <v/>
      </c>
    </row>
    <row r="448" spans="1:8" ht="15" hidden="1" customHeight="1" x14ac:dyDescent="0.25">
      <c r="A448" s="37"/>
      <c r="B448" s="37"/>
      <c r="C448" s="37"/>
      <c r="D448" s="37"/>
      <c r="E448" s="37"/>
      <c r="F448" s="37"/>
      <c r="G448" s="91" t="str">
        <f t="shared" si="6"/>
        <v>-</v>
      </c>
      <c r="H448" s="14" t="str">
        <f ca="1">IF(OR(A448="",B448=""),"",IF(EOMONTH(DATE(A448,MATCH(B448,{"Januar","Februar","März","April","Mai","Juni","Juli","August","September","Oktober","November","Dezember"},0),1),0)&lt;=TODAY()-Steuerung!$C$27,"Reif","Frisch"))</f>
        <v/>
      </c>
    </row>
    <row r="449" spans="1:8" ht="15" hidden="1" customHeight="1" x14ac:dyDescent="0.25">
      <c r="A449" s="41"/>
      <c r="B449" s="41"/>
      <c r="C449" s="41"/>
      <c r="D449" s="41"/>
      <c r="E449" s="41"/>
      <c r="F449" s="41"/>
      <c r="G449" s="93" t="str">
        <f t="shared" si="6"/>
        <v>-</v>
      </c>
      <c r="H449" s="10" t="str">
        <f ca="1">IF(OR(A449="",B449=""),"",IF(EOMONTH(DATE(A449,MATCH(B449,{"Januar","Februar","März","April","Mai","Juni","Juli","August","September","Oktober","November","Dezember"},0),1),0)&lt;=TODAY()-Steuerung!$C$27,"Reif","Frisch"))</f>
        <v/>
      </c>
    </row>
    <row r="450" spans="1:8" ht="15" hidden="1" customHeight="1" x14ac:dyDescent="0.25">
      <c r="A450" s="37"/>
      <c r="B450" s="37"/>
      <c r="C450" s="37"/>
      <c r="D450" s="37"/>
      <c r="E450" s="37"/>
      <c r="F450" s="37"/>
      <c r="G450" s="91" t="str">
        <f t="shared" si="6"/>
        <v>-</v>
      </c>
      <c r="H450" s="14" t="str">
        <f ca="1">IF(OR(A450="",B450=""),"",IF(EOMONTH(DATE(A450,MATCH(B450,{"Januar","Februar","März","April","Mai","Juni","Juli","August","September","Oktober","November","Dezember"},0),1),0)&lt;=TODAY()-Steuerung!$C$27,"Reif","Frisch"))</f>
        <v/>
      </c>
    </row>
    <row r="451" spans="1:8" ht="15" hidden="1" customHeight="1" x14ac:dyDescent="0.25">
      <c r="A451" s="41"/>
      <c r="B451" s="41"/>
      <c r="C451" s="41"/>
      <c r="D451" s="41"/>
      <c r="E451" s="41"/>
      <c r="F451" s="41"/>
      <c r="G451" s="93" t="str">
        <f t="shared" si="6"/>
        <v>-</v>
      </c>
      <c r="H451" s="10" t="str">
        <f ca="1">IF(OR(A451="",B451=""),"",IF(EOMONTH(DATE(A451,MATCH(B451,{"Januar","Februar","März","April","Mai","Juni","Juli","August","September","Oktober","November","Dezember"},0),1),0)&lt;=TODAY()-Steuerung!$C$27,"Reif","Frisch"))</f>
        <v/>
      </c>
    </row>
    <row r="452" spans="1:8" ht="15" hidden="1" customHeight="1" x14ac:dyDescent="0.25">
      <c r="A452" s="37"/>
      <c r="B452" s="37"/>
      <c r="C452" s="37"/>
      <c r="D452" s="37"/>
      <c r="E452" s="37"/>
      <c r="F452" s="37"/>
      <c r="G452" s="91" t="str">
        <f t="shared" ref="G452:G504" si="7">IF(D452=0,"-",E452/D452)</f>
        <v>-</v>
      </c>
      <c r="H452" s="14" t="str">
        <f ca="1">IF(OR(A452="",B452=""),"",IF(EOMONTH(DATE(A452,MATCH(B452,{"Januar","Februar","März","April","Mai","Juni","Juli","August","September","Oktober","November","Dezember"},0),1),0)&lt;=TODAY()-Steuerung!$C$27,"Reif","Frisch"))</f>
        <v/>
      </c>
    </row>
    <row r="453" spans="1:8" ht="15" hidden="1" customHeight="1" x14ac:dyDescent="0.25">
      <c r="A453" s="41"/>
      <c r="B453" s="41"/>
      <c r="C453" s="41"/>
      <c r="D453" s="41"/>
      <c r="E453" s="41"/>
      <c r="F453" s="41"/>
      <c r="G453" s="93" t="str">
        <f t="shared" si="7"/>
        <v>-</v>
      </c>
      <c r="H453" s="10" t="str">
        <f ca="1">IF(OR(A453="",B453=""),"",IF(EOMONTH(DATE(A453,MATCH(B453,{"Januar","Februar","März","April","Mai","Juni","Juli","August","September","Oktober","November","Dezember"},0),1),0)&lt;=TODAY()-Steuerung!$C$27,"Reif","Frisch"))</f>
        <v/>
      </c>
    </row>
    <row r="454" spans="1:8" ht="15" hidden="1" customHeight="1" x14ac:dyDescent="0.25">
      <c r="A454" s="37"/>
      <c r="B454" s="37"/>
      <c r="C454" s="37"/>
      <c r="D454" s="37"/>
      <c r="E454" s="37"/>
      <c r="F454" s="37"/>
      <c r="G454" s="91" t="str">
        <f t="shared" si="7"/>
        <v>-</v>
      </c>
      <c r="H454" s="14" t="str">
        <f ca="1">IF(OR(A454="",B454=""),"",IF(EOMONTH(DATE(A454,MATCH(B454,{"Januar","Februar","März","April","Mai","Juni","Juli","August","September","Oktober","November","Dezember"},0),1),0)&lt;=TODAY()-Steuerung!$C$27,"Reif","Frisch"))</f>
        <v/>
      </c>
    </row>
    <row r="455" spans="1:8" ht="15" hidden="1" customHeight="1" x14ac:dyDescent="0.25">
      <c r="A455" s="41"/>
      <c r="B455" s="41"/>
      <c r="C455" s="41"/>
      <c r="D455" s="41"/>
      <c r="E455" s="41"/>
      <c r="F455" s="41"/>
      <c r="G455" s="93" t="str">
        <f t="shared" si="7"/>
        <v>-</v>
      </c>
      <c r="H455" s="10" t="str">
        <f ca="1">IF(OR(A455="",B455=""),"",IF(EOMONTH(DATE(A455,MATCH(B455,{"Januar","Februar","März","April","Mai","Juni","Juli","August","September","Oktober","November","Dezember"},0),1),0)&lt;=TODAY()-Steuerung!$C$27,"Reif","Frisch"))</f>
        <v/>
      </c>
    </row>
    <row r="456" spans="1:8" ht="15" hidden="1" customHeight="1" x14ac:dyDescent="0.25">
      <c r="A456" s="37"/>
      <c r="B456" s="37"/>
      <c r="C456" s="37"/>
      <c r="D456" s="37"/>
      <c r="E456" s="37"/>
      <c r="F456" s="37"/>
      <c r="G456" s="91" t="str">
        <f t="shared" si="7"/>
        <v>-</v>
      </c>
      <c r="H456" s="14" t="str">
        <f ca="1">IF(OR(A456="",B456=""),"",IF(EOMONTH(DATE(A456,MATCH(B456,{"Januar","Februar","März","April","Mai","Juni","Juli","August","September","Oktober","November","Dezember"},0),1),0)&lt;=TODAY()-Steuerung!$C$27,"Reif","Frisch"))</f>
        <v/>
      </c>
    </row>
    <row r="457" spans="1:8" ht="15" hidden="1" customHeight="1" x14ac:dyDescent="0.25">
      <c r="A457" s="41"/>
      <c r="B457" s="41"/>
      <c r="C457" s="41"/>
      <c r="D457" s="41"/>
      <c r="E457" s="41"/>
      <c r="F457" s="41"/>
      <c r="G457" s="93" t="str">
        <f t="shared" si="7"/>
        <v>-</v>
      </c>
      <c r="H457" s="10" t="str">
        <f ca="1">IF(OR(A457="",B457=""),"",IF(EOMONTH(DATE(A457,MATCH(B457,{"Januar","Februar","März","April","Mai","Juni","Juli","August","September","Oktober","November","Dezember"},0),1),0)&lt;=TODAY()-Steuerung!$C$27,"Reif","Frisch"))</f>
        <v/>
      </c>
    </row>
    <row r="458" spans="1:8" ht="15" hidden="1" customHeight="1" x14ac:dyDescent="0.25">
      <c r="A458" s="37"/>
      <c r="B458" s="37"/>
      <c r="C458" s="37"/>
      <c r="D458" s="37"/>
      <c r="E458" s="37"/>
      <c r="F458" s="37"/>
      <c r="G458" s="91" t="str">
        <f t="shared" si="7"/>
        <v>-</v>
      </c>
      <c r="H458" s="14" t="str">
        <f ca="1">IF(OR(A458="",B458=""),"",IF(EOMONTH(DATE(A458,MATCH(B458,{"Januar","Februar","März","April","Mai","Juni","Juli","August","September","Oktober","November","Dezember"},0),1),0)&lt;=TODAY()-Steuerung!$C$27,"Reif","Frisch"))</f>
        <v/>
      </c>
    </row>
    <row r="459" spans="1:8" ht="15" hidden="1" customHeight="1" x14ac:dyDescent="0.25">
      <c r="A459" s="41"/>
      <c r="B459" s="41"/>
      <c r="C459" s="41"/>
      <c r="D459" s="41"/>
      <c r="E459" s="41"/>
      <c r="F459" s="41"/>
      <c r="G459" s="93" t="str">
        <f t="shared" si="7"/>
        <v>-</v>
      </c>
      <c r="H459" s="10" t="str">
        <f ca="1">IF(OR(A459="",B459=""),"",IF(EOMONTH(DATE(A459,MATCH(B459,{"Januar","Februar","März","April","Mai","Juni","Juli","August","September","Oktober","November","Dezember"},0),1),0)&lt;=TODAY()-Steuerung!$C$27,"Reif","Frisch"))</f>
        <v/>
      </c>
    </row>
    <row r="460" spans="1:8" ht="15" hidden="1" customHeight="1" x14ac:dyDescent="0.25">
      <c r="A460" s="37"/>
      <c r="B460" s="37"/>
      <c r="C460" s="37"/>
      <c r="D460" s="37"/>
      <c r="E460" s="37"/>
      <c r="F460" s="37"/>
      <c r="G460" s="91" t="str">
        <f t="shared" si="7"/>
        <v>-</v>
      </c>
      <c r="H460" s="14" t="str">
        <f ca="1">IF(OR(A460="",B460=""),"",IF(EOMONTH(DATE(A460,MATCH(B460,{"Januar","Februar","März","April","Mai","Juni","Juli","August","September","Oktober","November","Dezember"},0),1),0)&lt;=TODAY()-Steuerung!$C$27,"Reif","Frisch"))</f>
        <v/>
      </c>
    </row>
    <row r="461" spans="1:8" ht="15" hidden="1" customHeight="1" x14ac:dyDescent="0.25">
      <c r="A461" s="41"/>
      <c r="B461" s="41"/>
      <c r="C461" s="41"/>
      <c r="D461" s="41"/>
      <c r="E461" s="41"/>
      <c r="F461" s="41"/>
      <c r="G461" s="93" t="str">
        <f t="shared" si="7"/>
        <v>-</v>
      </c>
      <c r="H461" s="10" t="str">
        <f ca="1">IF(OR(A461="",B461=""),"",IF(EOMONTH(DATE(A461,MATCH(B461,{"Januar","Februar","März","April","Mai","Juni","Juli","August","September","Oktober","November","Dezember"},0),1),0)&lt;=TODAY()-Steuerung!$C$27,"Reif","Frisch"))</f>
        <v/>
      </c>
    </row>
    <row r="462" spans="1:8" ht="15" hidden="1" customHeight="1" x14ac:dyDescent="0.25">
      <c r="A462" s="37"/>
      <c r="B462" s="37"/>
      <c r="C462" s="37"/>
      <c r="D462" s="37"/>
      <c r="E462" s="37"/>
      <c r="F462" s="37"/>
      <c r="G462" s="91" t="str">
        <f t="shared" si="7"/>
        <v>-</v>
      </c>
      <c r="H462" s="14" t="str">
        <f ca="1">IF(OR(A462="",B462=""),"",IF(EOMONTH(DATE(A462,MATCH(B462,{"Januar","Februar","März","April","Mai","Juni","Juli","August","September","Oktober","November","Dezember"},0),1),0)&lt;=TODAY()-Steuerung!$C$27,"Reif","Frisch"))</f>
        <v/>
      </c>
    </row>
    <row r="463" spans="1:8" ht="15" hidden="1" customHeight="1" x14ac:dyDescent="0.25">
      <c r="A463" s="41"/>
      <c r="B463" s="41"/>
      <c r="C463" s="41"/>
      <c r="D463" s="41"/>
      <c r="E463" s="41"/>
      <c r="F463" s="41"/>
      <c r="G463" s="93" t="str">
        <f t="shared" si="7"/>
        <v>-</v>
      </c>
      <c r="H463" s="10" t="str">
        <f ca="1">IF(OR(A463="",B463=""),"",IF(EOMONTH(DATE(A463,MATCH(B463,{"Januar","Februar","März","April","Mai","Juni","Juli","August","September","Oktober","November","Dezember"},0),1),0)&lt;=TODAY()-Steuerung!$C$27,"Reif","Frisch"))</f>
        <v/>
      </c>
    </row>
    <row r="464" spans="1:8" ht="15" hidden="1" customHeight="1" x14ac:dyDescent="0.25">
      <c r="A464" s="37"/>
      <c r="B464" s="37"/>
      <c r="C464" s="37"/>
      <c r="D464" s="37"/>
      <c r="E464" s="37"/>
      <c r="F464" s="37"/>
      <c r="G464" s="91" t="str">
        <f t="shared" si="7"/>
        <v>-</v>
      </c>
      <c r="H464" s="14" t="str">
        <f ca="1">IF(OR(A464="",B464=""),"",IF(EOMONTH(DATE(A464,MATCH(B464,{"Januar","Februar","März","April","Mai","Juni","Juli","August","September","Oktober","November","Dezember"},0),1),0)&lt;=TODAY()-Steuerung!$C$27,"Reif","Frisch"))</f>
        <v/>
      </c>
    </row>
    <row r="465" spans="1:8" ht="15" hidden="1" customHeight="1" x14ac:dyDescent="0.25">
      <c r="A465" s="41"/>
      <c r="B465" s="41"/>
      <c r="C465" s="41"/>
      <c r="D465" s="41"/>
      <c r="E465" s="41"/>
      <c r="F465" s="41"/>
      <c r="G465" s="93" t="str">
        <f t="shared" si="7"/>
        <v>-</v>
      </c>
      <c r="H465" s="10" t="str">
        <f ca="1">IF(OR(A465="",B465=""),"",IF(EOMONTH(DATE(A465,MATCH(B465,{"Januar","Februar","März","April","Mai","Juni","Juli","August","September","Oktober","November","Dezember"},0),1),0)&lt;=TODAY()-Steuerung!$C$27,"Reif","Frisch"))</f>
        <v/>
      </c>
    </row>
    <row r="466" spans="1:8" ht="15" hidden="1" customHeight="1" x14ac:dyDescent="0.25">
      <c r="A466" s="37"/>
      <c r="B466" s="37"/>
      <c r="C466" s="37"/>
      <c r="D466" s="37"/>
      <c r="E466" s="37"/>
      <c r="F466" s="37"/>
      <c r="G466" s="91" t="str">
        <f t="shared" si="7"/>
        <v>-</v>
      </c>
      <c r="H466" s="14" t="str">
        <f ca="1">IF(OR(A466="",B466=""),"",IF(EOMONTH(DATE(A466,MATCH(B466,{"Januar","Februar","März","April","Mai","Juni","Juli","August","September","Oktober","November","Dezember"},0),1),0)&lt;=TODAY()-Steuerung!$C$27,"Reif","Frisch"))</f>
        <v/>
      </c>
    </row>
    <row r="467" spans="1:8" ht="15" hidden="1" customHeight="1" x14ac:dyDescent="0.25">
      <c r="A467" s="41"/>
      <c r="B467" s="41"/>
      <c r="C467" s="41"/>
      <c r="D467" s="41"/>
      <c r="E467" s="41"/>
      <c r="F467" s="41"/>
      <c r="G467" s="93" t="str">
        <f t="shared" si="7"/>
        <v>-</v>
      </c>
      <c r="H467" s="10" t="str">
        <f ca="1">IF(OR(A467="",B467=""),"",IF(EOMONTH(DATE(A467,MATCH(B467,{"Januar","Februar","März","April","Mai","Juni","Juli","August","September","Oktober","November","Dezember"},0),1),0)&lt;=TODAY()-Steuerung!$C$27,"Reif","Frisch"))</f>
        <v/>
      </c>
    </row>
    <row r="468" spans="1:8" ht="15" hidden="1" customHeight="1" x14ac:dyDescent="0.25">
      <c r="A468" s="37"/>
      <c r="B468" s="37"/>
      <c r="C468" s="37"/>
      <c r="D468" s="37"/>
      <c r="E468" s="37"/>
      <c r="F468" s="37"/>
      <c r="G468" s="91" t="str">
        <f t="shared" si="7"/>
        <v>-</v>
      </c>
      <c r="H468" s="14" t="str">
        <f ca="1">IF(OR(A468="",B468=""),"",IF(EOMONTH(DATE(A468,MATCH(B468,{"Januar","Februar","März","April","Mai","Juni","Juli","August","September","Oktober","November","Dezember"},0),1),0)&lt;=TODAY()-Steuerung!$C$27,"Reif","Frisch"))</f>
        <v/>
      </c>
    </row>
    <row r="469" spans="1:8" ht="15" hidden="1" customHeight="1" x14ac:dyDescent="0.25">
      <c r="A469" s="41"/>
      <c r="B469" s="41"/>
      <c r="C469" s="41"/>
      <c r="D469" s="41"/>
      <c r="E469" s="41"/>
      <c r="F469" s="41"/>
      <c r="G469" s="93" t="str">
        <f t="shared" si="7"/>
        <v>-</v>
      </c>
      <c r="H469" s="10" t="str">
        <f ca="1">IF(OR(A469="",B469=""),"",IF(EOMONTH(DATE(A469,MATCH(B469,{"Januar","Februar","März","April","Mai","Juni","Juli","August","September","Oktober","November","Dezember"},0),1),0)&lt;=TODAY()-Steuerung!$C$27,"Reif","Frisch"))</f>
        <v/>
      </c>
    </row>
    <row r="470" spans="1:8" ht="15" hidden="1" customHeight="1" x14ac:dyDescent="0.25">
      <c r="A470" s="37"/>
      <c r="B470" s="37"/>
      <c r="C470" s="37"/>
      <c r="D470" s="37"/>
      <c r="E470" s="37"/>
      <c r="F470" s="37"/>
      <c r="G470" s="91" t="str">
        <f t="shared" si="7"/>
        <v>-</v>
      </c>
      <c r="H470" s="14" t="str">
        <f ca="1">IF(OR(A470="",B470=""),"",IF(EOMONTH(DATE(A470,MATCH(B470,{"Januar","Februar","März","April","Mai","Juni","Juli","August","September","Oktober","November","Dezember"},0),1),0)&lt;=TODAY()-Steuerung!$C$27,"Reif","Frisch"))</f>
        <v/>
      </c>
    </row>
    <row r="471" spans="1:8" ht="15" hidden="1" customHeight="1" x14ac:dyDescent="0.25">
      <c r="A471" s="41"/>
      <c r="B471" s="41"/>
      <c r="C471" s="41"/>
      <c r="D471" s="41"/>
      <c r="E471" s="41"/>
      <c r="F471" s="41"/>
      <c r="G471" s="93" t="str">
        <f t="shared" si="7"/>
        <v>-</v>
      </c>
      <c r="H471" s="10" t="str">
        <f ca="1">IF(OR(A471="",B471=""),"",IF(EOMONTH(DATE(A471,MATCH(B471,{"Januar","Februar","März","April","Mai","Juni","Juli","August","September","Oktober","November","Dezember"},0),1),0)&lt;=TODAY()-Steuerung!$C$27,"Reif","Frisch"))</f>
        <v/>
      </c>
    </row>
    <row r="472" spans="1:8" ht="15" hidden="1" customHeight="1" x14ac:dyDescent="0.25">
      <c r="A472" s="37"/>
      <c r="B472" s="37"/>
      <c r="C472" s="37"/>
      <c r="D472" s="37"/>
      <c r="E472" s="37"/>
      <c r="F472" s="37"/>
      <c r="G472" s="91" t="str">
        <f t="shared" si="7"/>
        <v>-</v>
      </c>
      <c r="H472" s="14" t="str">
        <f ca="1">IF(OR(A472="",B472=""),"",IF(EOMONTH(DATE(A472,MATCH(B472,{"Januar","Februar","März","April","Mai","Juni","Juli","August","September","Oktober","November","Dezember"},0),1),0)&lt;=TODAY()-Steuerung!$C$27,"Reif","Frisch"))</f>
        <v/>
      </c>
    </row>
    <row r="473" spans="1:8" ht="15" hidden="1" customHeight="1" x14ac:dyDescent="0.25">
      <c r="A473" s="41"/>
      <c r="B473" s="41"/>
      <c r="C473" s="41"/>
      <c r="D473" s="41"/>
      <c r="E473" s="41"/>
      <c r="F473" s="41"/>
      <c r="G473" s="93" t="str">
        <f t="shared" si="7"/>
        <v>-</v>
      </c>
      <c r="H473" s="10" t="str">
        <f ca="1">IF(OR(A473="",B473=""),"",IF(EOMONTH(DATE(A473,MATCH(B473,{"Januar","Februar","März","April","Mai","Juni","Juli","August","September","Oktober","November","Dezember"},0),1),0)&lt;=TODAY()-Steuerung!$C$27,"Reif","Frisch"))</f>
        <v/>
      </c>
    </row>
    <row r="474" spans="1:8" ht="15" hidden="1" customHeight="1" x14ac:dyDescent="0.25">
      <c r="A474" s="37"/>
      <c r="B474" s="37"/>
      <c r="C474" s="37"/>
      <c r="D474" s="37"/>
      <c r="E474" s="37"/>
      <c r="F474" s="37"/>
      <c r="G474" s="91" t="str">
        <f t="shared" si="7"/>
        <v>-</v>
      </c>
      <c r="H474" s="14" t="str">
        <f ca="1">IF(OR(A474="",B474=""),"",IF(EOMONTH(DATE(A474,MATCH(B474,{"Januar","Februar","März","April","Mai","Juni","Juli","August","September","Oktober","November","Dezember"},0),1),0)&lt;=TODAY()-Steuerung!$C$27,"Reif","Frisch"))</f>
        <v/>
      </c>
    </row>
    <row r="475" spans="1:8" ht="15" hidden="1" customHeight="1" x14ac:dyDescent="0.25">
      <c r="A475" s="41"/>
      <c r="B475" s="41"/>
      <c r="C475" s="41"/>
      <c r="D475" s="41"/>
      <c r="E475" s="41"/>
      <c r="F475" s="41"/>
      <c r="G475" s="93" t="str">
        <f t="shared" si="7"/>
        <v>-</v>
      </c>
      <c r="H475" s="10" t="str">
        <f ca="1">IF(OR(A475="",B475=""),"",IF(EOMONTH(DATE(A475,MATCH(B475,{"Januar","Februar","März","April","Mai","Juni","Juli","August","September","Oktober","November","Dezember"},0),1),0)&lt;=TODAY()-Steuerung!$C$27,"Reif","Frisch"))</f>
        <v/>
      </c>
    </row>
    <row r="476" spans="1:8" ht="15" hidden="1" customHeight="1" x14ac:dyDescent="0.25">
      <c r="A476" s="37"/>
      <c r="B476" s="37"/>
      <c r="C476" s="37"/>
      <c r="D476" s="37"/>
      <c r="E476" s="37"/>
      <c r="F476" s="37"/>
      <c r="G476" s="91" t="str">
        <f t="shared" si="7"/>
        <v>-</v>
      </c>
      <c r="H476" s="14" t="str">
        <f ca="1">IF(OR(A476="",B476=""),"",IF(EOMONTH(DATE(A476,MATCH(B476,{"Januar","Februar","März","April","Mai","Juni","Juli","August","September","Oktober","November","Dezember"},0),1),0)&lt;=TODAY()-Steuerung!$C$27,"Reif","Frisch"))</f>
        <v/>
      </c>
    </row>
    <row r="477" spans="1:8" ht="15" hidden="1" customHeight="1" x14ac:dyDescent="0.25">
      <c r="A477" s="41"/>
      <c r="B477" s="41"/>
      <c r="C477" s="41"/>
      <c r="D477" s="41"/>
      <c r="E477" s="41"/>
      <c r="F477" s="41"/>
      <c r="G477" s="93" t="str">
        <f t="shared" si="7"/>
        <v>-</v>
      </c>
      <c r="H477" s="10" t="str">
        <f ca="1">IF(OR(A477="",B477=""),"",IF(EOMONTH(DATE(A477,MATCH(B477,{"Januar","Februar","März","April","Mai","Juni","Juli","August","September","Oktober","November","Dezember"},0),1),0)&lt;=TODAY()-Steuerung!$C$27,"Reif","Frisch"))</f>
        <v/>
      </c>
    </row>
    <row r="478" spans="1:8" ht="15" hidden="1" customHeight="1" x14ac:dyDescent="0.25">
      <c r="A478" s="37"/>
      <c r="B478" s="37"/>
      <c r="C478" s="37"/>
      <c r="D478" s="37"/>
      <c r="E478" s="37"/>
      <c r="F478" s="37"/>
      <c r="G478" s="91" t="str">
        <f t="shared" si="7"/>
        <v>-</v>
      </c>
      <c r="H478" s="14" t="str">
        <f ca="1">IF(OR(A478="",B478=""),"",IF(EOMONTH(DATE(A478,MATCH(B478,{"Januar","Februar","März","April","Mai","Juni","Juli","August","September","Oktober","November","Dezember"},0),1),0)&lt;=TODAY()-Steuerung!$C$27,"Reif","Frisch"))</f>
        <v/>
      </c>
    </row>
    <row r="479" spans="1:8" ht="15" hidden="1" customHeight="1" x14ac:dyDescent="0.25">
      <c r="A479" s="41"/>
      <c r="B479" s="41"/>
      <c r="C479" s="41"/>
      <c r="D479" s="41"/>
      <c r="E479" s="41"/>
      <c r="F479" s="41"/>
      <c r="G479" s="93" t="str">
        <f t="shared" si="7"/>
        <v>-</v>
      </c>
      <c r="H479" s="10" t="str">
        <f ca="1">IF(OR(A479="",B479=""),"",IF(EOMONTH(DATE(A479,MATCH(B479,{"Januar","Februar","März","April","Mai","Juni","Juli","August","September","Oktober","November","Dezember"},0),1),0)&lt;=TODAY()-Steuerung!$C$27,"Reif","Frisch"))</f>
        <v/>
      </c>
    </row>
    <row r="480" spans="1:8" ht="15" hidden="1" customHeight="1" x14ac:dyDescent="0.25">
      <c r="A480" s="37"/>
      <c r="B480" s="37"/>
      <c r="C480" s="37"/>
      <c r="D480" s="37"/>
      <c r="E480" s="37"/>
      <c r="F480" s="37"/>
      <c r="G480" s="91" t="str">
        <f t="shared" si="7"/>
        <v>-</v>
      </c>
      <c r="H480" s="14" t="str">
        <f ca="1">IF(OR(A480="",B480=""),"",IF(EOMONTH(DATE(A480,MATCH(B480,{"Januar","Februar","März","April","Mai","Juni","Juli","August","September","Oktober","November","Dezember"},0),1),0)&lt;=TODAY()-Steuerung!$C$27,"Reif","Frisch"))</f>
        <v/>
      </c>
    </row>
    <row r="481" spans="1:8" ht="15" hidden="1" customHeight="1" x14ac:dyDescent="0.25">
      <c r="A481" s="41"/>
      <c r="B481" s="41"/>
      <c r="C481" s="41"/>
      <c r="D481" s="41"/>
      <c r="E481" s="41"/>
      <c r="F481" s="41"/>
      <c r="G481" s="93" t="str">
        <f t="shared" si="7"/>
        <v>-</v>
      </c>
      <c r="H481" s="10" t="str">
        <f ca="1">IF(OR(A481="",B481=""),"",IF(EOMONTH(DATE(A481,MATCH(B481,{"Januar","Februar","März","April","Mai","Juni","Juli","August","September","Oktober","November","Dezember"},0),1),0)&lt;=TODAY()-Steuerung!$C$27,"Reif","Frisch"))</f>
        <v/>
      </c>
    </row>
    <row r="482" spans="1:8" ht="15" hidden="1" customHeight="1" x14ac:dyDescent="0.25">
      <c r="A482" s="37"/>
      <c r="B482" s="37"/>
      <c r="C482" s="37"/>
      <c r="D482" s="37"/>
      <c r="E482" s="37"/>
      <c r="F482" s="37"/>
      <c r="G482" s="91" t="str">
        <f t="shared" si="7"/>
        <v>-</v>
      </c>
      <c r="H482" s="14" t="str">
        <f ca="1">IF(OR(A482="",B482=""),"",IF(EOMONTH(DATE(A482,MATCH(B482,{"Januar","Februar","März","April","Mai","Juni","Juli","August","September","Oktober","November","Dezember"},0),1),0)&lt;=TODAY()-Steuerung!$C$27,"Reif","Frisch"))</f>
        <v/>
      </c>
    </row>
    <row r="483" spans="1:8" ht="15" hidden="1" customHeight="1" x14ac:dyDescent="0.25">
      <c r="A483" s="41"/>
      <c r="B483" s="41"/>
      <c r="C483" s="41"/>
      <c r="D483" s="41"/>
      <c r="E483" s="41"/>
      <c r="F483" s="41"/>
      <c r="G483" s="93" t="str">
        <f t="shared" si="7"/>
        <v>-</v>
      </c>
      <c r="H483" s="10" t="str">
        <f ca="1">IF(OR(A483="",B483=""),"",IF(EOMONTH(DATE(A483,MATCH(B483,{"Januar","Februar","März","April","Mai","Juni","Juli","August","September","Oktober","November","Dezember"},0),1),0)&lt;=TODAY()-Steuerung!$C$27,"Reif","Frisch"))</f>
        <v/>
      </c>
    </row>
    <row r="484" spans="1:8" ht="15" hidden="1" customHeight="1" x14ac:dyDescent="0.25">
      <c r="A484" s="37"/>
      <c r="B484" s="37"/>
      <c r="C484" s="37"/>
      <c r="D484" s="37"/>
      <c r="E484" s="37"/>
      <c r="F484" s="37"/>
      <c r="G484" s="91" t="str">
        <f t="shared" si="7"/>
        <v>-</v>
      </c>
      <c r="H484" s="14" t="str">
        <f ca="1">IF(OR(A484="",B484=""),"",IF(EOMONTH(DATE(A484,MATCH(B484,{"Januar","Februar","März","April","Mai","Juni","Juli","August","September","Oktober","November","Dezember"},0),1),0)&lt;=TODAY()-Steuerung!$C$27,"Reif","Frisch"))</f>
        <v/>
      </c>
    </row>
    <row r="485" spans="1:8" ht="15" hidden="1" customHeight="1" x14ac:dyDescent="0.25">
      <c r="A485" s="41"/>
      <c r="B485" s="41"/>
      <c r="C485" s="41"/>
      <c r="D485" s="41"/>
      <c r="E485" s="41"/>
      <c r="F485" s="41"/>
      <c r="G485" s="93" t="str">
        <f t="shared" si="7"/>
        <v>-</v>
      </c>
      <c r="H485" s="10" t="str">
        <f ca="1">IF(OR(A485="",B485=""),"",IF(EOMONTH(DATE(A485,MATCH(B485,{"Januar","Februar","März","April","Mai","Juni","Juli","August","September","Oktober","November","Dezember"},0),1),0)&lt;=TODAY()-Steuerung!$C$27,"Reif","Frisch"))</f>
        <v/>
      </c>
    </row>
    <row r="486" spans="1:8" ht="15" hidden="1" customHeight="1" x14ac:dyDescent="0.25">
      <c r="A486" s="37"/>
      <c r="B486" s="37"/>
      <c r="C486" s="37"/>
      <c r="D486" s="37"/>
      <c r="E486" s="37"/>
      <c r="F486" s="37"/>
      <c r="G486" s="91" t="str">
        <f t="shared" si="7"/>
        <v>-</v>
      </c>
      <c r="H486" s="14" t="str">
        <f ca="1">IF(OR(A486="",B486=""),"",IF(EOMONTH(DATE(A486,MATCH(B486,{"Januar","Februar","März","April","Mai","Juni","Juli","August","September","Oktober","November","Dezember"},0),1),0)&lt;=TODAY()-Steuerung!$C$27,"Reif","Frisch"))</f>
        <v/>
      </c>
    </row>
    <row r="487" spans="1:8" ht="15" hidden="1" customHeight="1" x14ac:dyDescent="0.25">
      <c r="A487" s="41"/>
      <c r="B487" s="41"/>
      <c r="C487" s="41"/>
      <c r="D487" s="41"/>
      <c r="E487" s="41"/>
      <c r="F487" s="41"/>
      <c r="G487" s="93" t="str">
        <f t="shared" si="7"/>
        <v>-</v>
      </c>
      <c r="H487" s="10" t="str">
        <f ca="1">IF(OR(A487="",B487=""),"",IF(EOMONTH(DATE(A487,MATCH(B487,{"Januar","Februar","März","April","Mai","Juni","Juli","August","September","Oktober","November","Dezember"},0),1),0)&lt;=TODAY()-Steuerung!$C$27,"Reif","Frisch"))</f>
        <v/>
      </c>
    </row>
    <row r="488" spans="1:8" ht="15" hidden="1" customHeight="1" x14ac:dyDescent="0.25">
      <c r="A488" s="37"/>
      <c r="B488" s="37"/>
      <c r="C488" s="37"/>
      <c r="D488" s="37"/>
      <c r="E488" s="37"/>
      <c r="F488" s="37"/>
      <c r="G488" s="91" t="str">
        <f t="shared" si="7"/>
        <v>-</v>
      </c>
      <c r="H488" s="14" t="str">
        <f ca="1">IF(OR(A488="",B488=""),"",IF(EOMONTH(DATE(A488,MATCH(B488,{"Januar","Februar","März","April","Mai","Juni","Juli","August","September","Oktober","November","Dezember"},0),1),0)&lt;=TODAY()-Steuerung!$C$27,"Reif","Frisch"))</f>
        <v/>
      </c>
    </row>
    <row r="489" spans="1:8" ht="15" hidden="1" customHeight="1" x14ac:dyDescent="0.25">
      <c r="A489" s="41"/>
      <c r="B489" s="41"/>
      <c r="C489" s="41"/>
      <c r="D489" s="41"/>
      <c r="E489" s="41"/>
      <c r="F489" s="41"/>
      <c r="G489" s="93" t="str">
        <f t="shared" si="7"/>
        <v>-</v>
      </c>
      <c r="H489" s="10" t="str">
        <f ca="1">IF(OR(A489="",B489=""),"",IF(EOMONTH(DATE(A489,MATCH(B489,{"Januar","Februar","März","April","Mai","Juni","Juli","August","September","Oktober","November","Dezember"},0),1),0)&lt;=TODAY()-Steuerung!$C$27,"Reif","Frisch"))</f>
        <v/>
      </c>
    </row>
    <row r="490" spans="1:8" ht="15" hidden="1" customHeight="1" x14ac:dyDescent="0.25">
      <c r="A490" s="37"/>
      <c r="B490" s="37"/>
      <c r="C490" s="37"/>
      <c r="D490" s="37"/>
      <c r="E490" s="37"/>
      <c r="F490" s="37"/>
      <c r="G490" s="91" t="str">
        <f t="shared" si="7"/>
        <v>-</v>
      </c>
      <c r="H490" s="14" t="str">
        <f ca="1">IF(OR(A490="",B490=""),"",IF(EOMONTH(DATE(A490,MATCH(B490,{"Januar","Februar","März","April","Mai","Juni","Juli","August","September","Oktober","November","Dezember"},0),1),0)&lt;=TODAY()-Steuerung!$C$27,"Reif","Frisch"))</f>
        <v/>
      </c>
    </row>
    <row r="491" spans="1:8" ht="15" hidden="1" customHeight="1" x14ac:dyDescent="0.25">
      <c r="A491" s="41"/>
      <c r="B491" s="41"/>
      <c r="C491" s="41"/>
      <c r="D491" s="41"/>
      <c r="E491" s="41"/>
      <c r="F491" s="41"/>
      <c r="G491" s="93" t="str">
        <f t="shared" si="7"/>
        <v>-</v>
      </c>
      <c r="H491" s="10" t="str">
        <f ca="1">IF(OR(A491="",B491=""),"",IF(EOMONTH(DATE(A491,MATCH(B491,{"Januar","Februar","März","April","Mai","Juni","Juli","August","September","Oktober","November","Dezember"},0),1),0)&lt;=TODAY()-Steuerung!$C$27,"Reif","Frisch"))</f>
        <v/>
      </c>
    </row>
    <row r="492" spans="1:8" ht="15" hidden="1" customHeight="1" x14ac:dyDescent="0.25">
      <c r="A492" s="37"/>
      <c r="B492" s="37"/>
      <c r="C492" s="37"/>
      <c r="D492" s="37"/>
      <c r="E492" s="37"/>
      <c r="F492" s="37"/>
      <c r="G492" s="91" t="str">
        <f t="shared" si="7"/>
        <v>-</v>
      </c>
      <c r="H492" s="14" t="str">
        <f ca="1">IF(OR(A492="",B492=""),"",IF(EOMONTH(DATE(A492,MATCH(B492,{"Januar","Februar","März","April","Mai","Juni","Juli","August","September","Oktober","November","Dezember"},0),1),0)&lt;=TODAY()-Steuerung!$C$27,"Reif","Frisch"))</f>
        <v/>
      </c>
    </row>
    <row r="493" spans="1:8" ht="15" hidden="1" customHeight="1" x14ac:dyDescent="0.25">
      <c r="A493" s="41"/>
      <c r="B493" s="41"/>
      <c r="C493" s="41"/>
      <c r="D493" s="41"/>
      <c r="E493" s="41"/>
      <c r="F493" s="41"/>
      <c r="G493" s="93" t="str">
        <f t="shared" si="7"/>
        <v>-</v>
      </c>
      <c r="H493" s="10" t="str">
        <f ca="1">IF(OR(A493="",B493=""),"",IF(EOMONTH(DATE(A493,MATCH(B493,{"Januar","Februar","März","April","Mai","Juni","Juli","August","September","Oktober","November","Dezember"},0),1),0)&lt;=TODAY()-Steuerung!$C$27,"Reif","Frisch"))</f>
        <v/>
      </c>
    </row>
    <row r="494" spans="1:8" ht="15" hidden="1" customHeight="1" x14ac:dyDescent="0.25">
      <c r="A494" s="37"/>
      <c r="B494" s="37"/>
      <c r="C494" s="37"/>
      <c r="D494" s="37"/>
      <c r="E494" s="37"/>
      <c r="F494" s="37"/>
      <c r="G494" s="91" t="str">
        <f t="shared" si="7"/>
        <v>-</v>
      </c>
      <c r="H494" s="14" t="str">
        <f ca="1">IF(OR(A494="",B494=""),"",IF(EOMONTH(DATE(A494,MATCH(B494,{"Januar","Februar","März","April","Mai","Juni","Juli","August","September","Oktober","November","Dezember"},0),1),0)&lt;=TODAY()-Steuerung!$C$27,"Reif","Frisch"))</f>
        <v/>
      </c>
    </row>
    <row r="495" spans="1:8" ht="15" hidden="1" customHeight="1" x14ac:dyDescent="0.25">
      <c r="A495" s="41"/>
      <c r="B495" s="41"/>
      <c r="C495" s="41"/>
      <c r="D495" s="41"/>
      <c r="E495" s="41"/>
      <c r="F495" s="41"/>
      <c r="G495" s="93" t="str">
        <f t="shared" si="7"/>
        <v>-</v>
      </c>
      <c r="H495" s="10" t="str">
        <f ca="1">IF(OR(A495="",B495=""),"",IF(EOMONTH(DATE(A495,MATCH(B495,{"Januar","Februar","März","April","Mai","Juni","Juli","August","September","Oktober","November","Dezember"},0),1),0)&lt;=TODAY()-Steuerung!$C$27,"Reif","Frisch"))</f>
        <v/>
      </c>
    </row>
    <row r="496" spans="1:8" ht="15" hidden="1" customHeight="1" x14ac:dyDescent="0.25">
      <c r="A496" s="37"/>
      <c r="B496" s="37"/>
      <c r="C496" s="37"/>
      <c r="D496" s="37"/>
      <c r="E496" s="37"/>
      <c r="F496" s="37"/>
      <c r="G496" s="91" t="str">
        <f t="shared" si="7"/>
        <v>-</v>
      </c>
      <c r="H496" s="14" t="str">
        <f ca="1">IF(OR(A496="",B496=""),"",IF(EOMONTH(DATE(A496,MATCH(B496,{"Januar","Februar","März","April","Mai","Juni","Juli","August","September","Oktober","November","Dezember"},0),1),0)&lt;=TODAY()-Steuerung!$C$27,"Reif","Frisch"))</f>
        <v/>
      </c>
    </row>
    <row r="497" spans="1:8" ht="15" hidden="1" customHeight="1" x14ac:dyDescent="0.25">
      <c r="A497" s="41"/>
      <c r="B497" s="41"/>
      <c r="C497" s="41"/>
      <c r="D497" s="41"/>
      <c r="E497" s="41"/>
      <c r="F497" s="41"/>
      <c r="G497" s="93" t="str">
        <f t="shared" si="7"/>
        <v>-</v>
      </c>
      <c r="H497" s="10" t="str">
        <f ca="1">IF(OR(A497="",B497=""),"",IF(EOMONTH(DATE(A497,MATCH(B497,{"Januar","Februar","März","April","Mai","Juni","Juli","August","September","Oktober","November","Dezember"},0),1),0)&lt;=TODAY()-Steuerung!$C$27,"Reif","Frisch"))</f>
        <v/>
      </c>
    </row>
    <row r="498" spans="1:8" ht="15" hidden="1" customHeight="1" x14ac:dyDescent="0.25">
      <c r="A498" s="37"/>
      <c r="B498" s="37"/>
      <c r="C498" s="37"/>
      <c r="D498" s="37"/>
      <c r="E498" s="37"/>
      <c r="F498" s="37"/>
      <c r="G498" s="91" t="str">
        <f t="shared" si="7"/>
        <v>-</v>
      </c>
      <c r="H498" s="14" t="str">
        <f ca="1">IF(OR(A498="",B498=""),"",IF(EOMONTH(DATE(A498,MATCH(B498,{"Januar","Februar","März","April","Mai","Juni","Juli","August","September","Oktober","November","Dezember"},0),1),0)&lt;=TODAY()-Steuerung!$C$27,"Reif","Frisch"))</f>
        <v/>
      </c>
    </row>
    <row r="499" spans="1:8" ht="15" hidden="1" customHeight="1" x14ac:dyDescent="0.25">
      <c r="A499" s="41"/>
      <c r="B499" s="41"/>
      <c r="C499" s="41"/>
      <c r="D499" s="41"/>
      <c r="E499" s="41"/>
      <c r="F499" s="41"/>
      <c r="G499" s="93" t="str">
        <f t="shared" si="7"/>
        <v>-</v>
      </c>
      <c r="H499" s="10" t="str">
        <f ca="1">IF(OR(A499="",B499=""),"",IF(EOMONTH(DATE(A499,MATCH(B499,{"Januar","Februar","März","April","Mai","Juni","Juli","August","September","Oktober","November","Dezember"},0),1),0)&lt;=TODAY()-Steuerung!$C$27,"Reif","Frisch"))</f>
        <v/>
      </c>
    </row>
    <row r="500" spans="1:8" ht="15" hidden="1" customHeight="1" x14ac:dyDescent="0.25">
      <c r="A500" s="37"/>
      <c r="B500" s="37"/>
      <c r="C500" s="37"/>
      <c r="D500" s="37"/>
      <c r="E500" s="37"/>
      <c r="F500" s="37"/>
      <c r="G500" s="91" t="str">
        <f t="shared" si="7"/>
        <v>-</v>
      </c>
      <c r="H500" s="14" t="str">
        <f ca="1">IF(OR(A500="",B500=""),"",IF(EOMONTH(DATE(A500,MATCH(B500,{"Januar","Februar","März","April","Mai","Juni","Juli","August","September","Oktober","November","Dezember"},0),1),0)&lt;=TODAY()-Steuerung!$C$27,"Reif","Frisch"))</f>
        <v/>
      </c>
    </row>
    <row r="501" spans="1:8" ht="15" hidden="1" customHeight="1" x14ac:dyDescent="0.25">
      <c r="A501" s="41"/>
      <c r="B501" s="41"/>
      <c r="C501" s="41"/>
      <c r="D501" s="41"/>
      <c r="E501" s="41"/>
      <c r="F501" s="41"/>
      <c r="G501" s="93" t="str">
        <f t="shared" si="7"/>
        <v>-</v>
      </c>
      <c r="H501" s="10" t="str">
        <f ca="1">IF(OR(A501="",B501=""),"",IF(EOMONTH(DATE(A501,MATCH(B501,{"Januar","Februar","März","April","Mai","Juni","Juli","August","September","Oktober","November","Dezember"},0),1),0)&lt;=TODAY()-Steuerung!$C$27,"Reif","Frisch"))</f>
        <v/>
      </c>
    </row>
    <row r="502" spans="1:8" ht="15" hidden="1" customHeight="1" x14ac:dyDescent="0.25">
      <c r="A502" s="37"/>
      <c r="B502" s="37"/>
      <c r="C502" s="37"/>
      <c r="D502" s="37"/>
      <c r="E502" s="37"/>
      <c r="F502" s="37"/>
      <c r="G502" s="91" t="str">
        <f t="shared" si="7"/>
        <v>-</v>
      </c>
      <c r="H502" s="14" t="str">
        <f ca="1">IF(OR(A502="",B502=""),"",IF(EOMONTH(DATE(A502,MATCH(B502,{"Januar","Februar","März","April","Mai","Juni","Juli","August","September","Oktober","November","Dezember"},0),1),0)&lt;=TODAY()-Steuerung!$C$27,"Reif","Frisch"))</f>
        <v/>
      </c>
    </row>
    <row r="503" spans="1:8" ht="15" hidden="1" customHeight="1" x14ac:dyDescent="0.25">
      <c r="A503" s="41"/>
      <c r="B503" s="41"/>
      <c r="C503" s="41"/>
      <c r="D503" s="41"/>
      <c r="E503" s="41"/>
      <c r="F503" s="41"/>
      <c r="G503" s="93" t="str">
        <f t="shared" si="7"/>
        <v>-</v>
      </c>
      <c r="H503" s="10" t="str">
        <f ca="1">IF(OR(A503="",B503=""),"",IF(EOMONTH(DATE(A503,MATCH(B503,{"Januar","Februar","März","April","Mai","Juni","Juli","August","September","Oktober","November","Dezember"},0),1),0)&lt;=TODAY()-Steuerung!$C$27,"Reif","Frisch"))</f>
        <v/>
      </c>
    </row>
    <row r="504" spans="1:8" hidden="1" x14ac:dyDescent="0.25">
      <c r="A504" s="37">
        <v>2026</v>
      </c>
      <c r="B504" s="37" t="s">
        <v>327</v>
      </c>
      <c r="C504" s="37" t="s">
        <v>300</v>
      </c>
      <c r="D504" s="37">
        <v>21</v>
      </c>
      <c r="E504" s="37">
        <v>15</v>
      </c>
      <c r="F504" s="37">
        <v>0</v>
      </c>
      <c r="G504" s="91">
        <f t="shared" si="7"/>
        <v>0.7142857142857143</v>
      </c>
      <c r="H504" s="14" t="str">
        <f ca="1">IF(OR(A504="",B504=""),"",IF(EOMONTH(DATE(A504,MATCH(B504,{"Januar","Februar","März","April","Mai","Juni","Juli","August","September","Oktober","November","Dezember"},0),1),0)&lt;=TODAY()-Steuerung!$C$27,"Reif","Frisch"))</f>
        <v>Frisch</v>
      </c>
    </row>
  </sheetData>
  <autoFilter ref="A3:H504" xr:uid="{00000000-0009-0000-0000-000002000000}">
    <filterColumn colId="2">
      <filters>
        <filter val="Gabriella Reske"/>
      </filters>
    </filterColumn>
  </autoFilter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E28"/>
  <sheetViews>
    <sheetView zoomScaleNormal="100" workbookViewId="0">
      <selection sqref="A1:E1"/>
    </sheetView>
  </sheetViews>
  <sheetFormatPr baseColWidth="10" defaultColWidth="8.7109375" defaultRowHeight="15" x14ac:dyDescent="0.25"/>
  <cols>
    <col min="1" max="1" width="5" customWidth="1"/>
    <col min="2" max="2" width="24" customWidth="1"/>
    <col min="3" max="3" width="20" customWidth="1"/>
    <col min="4" max="4" width="14" customWidth="1"/>
    <col min="5" max="5" width="45" customWidth="1"/>
  </cols>
  <sheetData>
    <row r="1" spans="1:5" ht="31.5" customHeight="1" x14ac:dyDescent="0.25">
      <c r="A1" s="126" t="s">
        <v>369</v>
      </c>
      <c r="B1" s="126"/>
      <c r="C1" s="126"/>
      <c r="D1" s="126"/>
      <c r="E1" s="126"/>
    </row>
    <row r="2" spans="1:5" ht="15" customHeight="1" x14ac:dyDescent="0.25">
      <c r="A2" s="122" t="s">
        <v>370</v>
      </c>
      <c r="B2" s="122"/>
      <c r="C2" s="122"/>
      <c r="D2" s="122"/>
      <c r="E2" s="122"/>
    </row>
    <row r="4" spans="1:5" ht="24" customHeight="1" x14ac:dyDescent="0.25">
      <c r="A4" s="127" t="s">
        <v>371</v>
      </c>
      <c r="B4" s="127"/>
      <c r="C4" s="127"/>
      <c r="D4" s="127"/>
      <c r="E4" s="127"/>
    </row>
    <row r="5" spans="1:5" ht="21.75" customHeight="1" x14ac:dyDescent="0.25">
      <c r="A5" s="33" t="s">
        <v>61</v>
      </c>
      <c r="B5" s="33" t="s">
        <v>372</v>
      </c>
      <c r="C5" s="33" t="s">
        <v>373</v>
      </c>
      <c r="D5" s="33" t="s">
        <v>69</v>
      </c>
      <c r="E5" s="33"/>
    </row>
    <row r="6" spans="1:5" ht="15" customHeight="1" x14ac:dyDescent="0.25">
      <c r="A6" s="14">
        <v>1</v>
      </c>
      <c r="B6" s="94" t="s">
        <v>81</v>
      </c>
      <c r="C6" s="95" t="s">
        <v>374</v>
      </c>
      <c r="D6" s="96" t="s">
        <v>375</v>
      </c>
    </row>
    <row r="7" spans="1:5" ht="15" customHeight="1" x14ac:dyDescent="0.25">
      <c r="A7" s="10">
        <v>2</v>
      </c>
      <c r="B7" s="94" t="s">
        <v>85</v>
      </c>
      <c r="C7" s="95" t="s">
        <v>376</v>
      </c>
      <c r="D7" s="96" t="s">
        <v>375</v>
      </c>
    </row>
    <row r="8" spans="1:5" ht="15" customHeight="1" x14ac:dyDescent="0.25">
      <c r="A8" s="14">
        <v>3</v>
      </c>
      <c r="B8" s="94" t="s">
        <v>73</v>
      </c>
      <c r="C8" s="95" t="s">
        <v>377</v>
      </c>
      <c r="D8" s="96" t="s">
        <v>375</v>
      </c>
    </row>
    <row r="9" spans="1:5" ht="15" customHeight="1" x14ac:dyDescent="0.25">
      <c r="A9" s="10">
        <v>4</v>
      </c>
      <c r="B9" s="94" t="s">
        <v>300</v>
      </c>
      <c r="C9" s="95" t="s">
        <v>378</v>
      </c>
      <c r="D9" s="96" t="s">
        <v>379</v>
      </c>
    </row>
    <row r="10" spans="1:5" ht="15" customHeight="1" x14ac:dyDescent="0.25">
      <c r="A10" s="14">
        <v>5</v>
      </c>
      <c r="B10" s="94"/>
      <c r="C10" s="95"/>
      <c r="D10" s="97"/>
    </row>
    <row r="11" spans="1:5" ht="15" customHeight="1" x14ac:dyDescent="0.25">
      <c r="A11" s="10">
        <v>6</v>
      </c>
      <c r="B11" s="94"/>
      <c r="C11" s="95"/>
      <c r="D11" s="97"/>
    </row>
    <row r="14" spans="1:5" ht="24" customHeight="1" x14ac:dyDescent="0.25">
      <c r="A14" s="128" t="s">
        <v>380</v>
      </c>
      <c r="B14" s="128"/>
      <c r="C14" s="128"/>
      <c r="D14" s="128"/>
      <c r="E14" s="128"/>
    </row>
    <row r="15" spans="1:5" ht="21.75" customHeight="1" x14ac:dyDescent="0.25">
      <c r="A15" s="33" t="s">
        <v>61</v>
      </c>
      <c r="B15" s="33" t="s">
        <v>372</v>
      </c>
      <c r="C15" s="33" t="s">
        <v>373</v>
      </c>
      <c r="D15" s="33"/>
      <c r="E15" s="33" t="s">
        <v>381</v>
      </c>
    </row>
    <row r="16" spans="1:5" ht="15" customHeight="1" x14ac:dyDescent="0.25">
      <c r="A16" s="14">
        <v>1</v>
      </c>
      <c r="B16" s="94" t="s">
        <v>81</v>
      </c>
      <c r="C16" s="95" t="s">
        <v>374</v>
      </c>
    </row>
    <row r="17" spans="1:5" ht="15" customHeight="1" x14ac:dyDescent="0.25">
      <c r="A17" s="10">
        <v>2</v>
      </c>
      <c r="B17" s="94" t="s">
        <v>85</v>
      </c>
      <c r="C17" s="95" t="s">
        <v>376</v>
      </c>
    </row>
    <row r="18" spans="1:5" ht="15" customHeight="1" x14ac:dyDescent="0.25">
      <c r="A18" s="14">
        <v>3</v>
      </c>
      <c r="B18" s="94" t="s">
        <v>73</v>
      </c>
      <c r="C18" s="95" t="s">
        <v>377</v>
      </c>
    </row>
    <row r="19" spans="1:5" ht="15" customHeight="1" x14ac:dyDescent="0.25">
      <c r="A19" s="10">
        <v>4</v>
      </c>
      <c r="B19" s="94" t="s">
        <v>300</v>
      </c>
      <c r="C19" s="95" t="s">
        <v>378</v>
      </c>
    </row>
    <row r="20" spans="1:5" ht="15" customHeight="1" x14ac:dyDescent="0.25">
      <c r="A20" s="14">
        <v>5</v>
      </c>
      <c r="B20" s="94" t="s">
        <v>134</v>
      </c>
      <c r="C20" s="95" t="s">
        <v>382</v>
      </c>
    </row>
    <row r="21" spans="1:5" ht="15" customHeight="1" x14ac:dyDescent="0.25">
      <c r="A21" s="10">
        <v>6</v>
      </c>
      <c r="B21" s="94" t="s">
        <v>162</v>
      </c>
      <c r="C21" s="95" t="s">
        <v>383</v>
      </c>
    </row>
    <row r="22" spans="1:5" ht="15" customHeight="1" x14ac:dyDescent="0.25">
      <c r="A22" s="14">
        <v>7</v>
      </c>
      <c r="B22" s="94" t="s">
        <v>175</v>
      </c>
      <c r="C22" s="95" t="s">
        <v>384</v>
      </c>
    </row>
    <row r="23" spans="1:5" ht="15" customHeight="1" x14ac:dyDescent="0.25">
      <c r="A23" s="10">
        <v>8</v>
      </c>
      <c r="B23" s="94"/>
      <c r="C23" s="95"/>
      <c r="E23" s="1" t="s">
        <v>385</v>
      </c>
    </row>
    <row r="26" spans="1:5" ht="24" customHeight="1" x14ac:dyDescent="0.25">
      <c r="A26" s="129" t="s">
        <v>386</v>
      </c>
      <c r="B26" s="129"/>
      <c r="C26" s="129"/>
      <c r="D26" s="129"/>
      <c r="E26" s="129"/>
    </row>
    <row r="27" spans="1:5" ht="15" customHeight="1" x14ac:dyDescent="0.25">
      <c r="B27" s="98" t="s">
        <v>387</v>
      </c>
      <c r="C27" s="99">
        <v>90</v>
      </c>
      <c r="E27" s="100" t="s">
        <v>388</v>
      </c>
    </row>
    <row r="28" spans="1:5" ht="15" customHeight="1" x14ac:dyDescent="0.25">
      <c r="B28" s="98" t="s">
        <v>389</v>
      </c>
      <c r="C28" s="99">
        <v>2026</v>
      </c>
      <c r="E28" s="100" t="s">
        <v>390</v>
      </c>
    </row>
  </sheetData>
  <mergeCells count="5">
    <mergeCell ref="A1:E1"/>
    <mergeCell ref="A2:E2"/>
    <mergeCell ref="A4:E4"/>
    <mergeCell ref="A14:E14"/>
    <mergeCell ref="A26:E2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Dashboard</vt:lpstr>
      <vt:lpstr>Vertragseingänge</vt:lpstr>
      <vt:lpstr>Leads Rohdaten</vt:lpstr>
      <vt:lpstr>Steuerung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Drilan Veseli</cp:lastModifiedBy>
  <cp:revision>10</cp:revision>
  <dcterms:created xsi:type="dcterms:W3CDTF">2026-04-14T06:45:46Z</dcterms:created>
  <dcterms:modified xsi:type="dcterms:W3CDTF">2026-07-23T09:51:26Z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